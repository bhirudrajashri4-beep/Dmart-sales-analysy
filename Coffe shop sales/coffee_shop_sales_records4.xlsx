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0490" windowHeight="7620" activeTab="3"/>
  </bookViews>
  <sheets>
    <sheet name="Coffee Shop Sales" sheetId="1" r:id="rId1"/>
    <sheet name="Pivot table" sheetId="4" r:id="rId2"/>
    <sheet name="KPI" sheetId="5" r:id="rId3"/>
    <sheet name="Dashboard" sheetId="6" r:id="rId4"/>
  </sheets>
  <definedNames>
    <definedName name="Slicer_Store_Location">#N/A</definedName>
    <definedName name="Slicer_Sales_Amount">#N/A</definedName>
    <definedName name="Slicer_Transaction_ID">#N/A</definedName>
    <definedName name="Slicer_Payment_Method">#N/A</definedName>
    <definedName name="Slicer_Product_Name">#N/A</definedName>
    <definedName name="Slicer_Quantity_Sold">#N/A</definedName>
    <definedName name="Slicer_Product_Category">#N/A</definedName>
    <definedName name="Slicer_Profit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13"/>
        <x14:slicerCache r:id="rId12"/>
        <x14:slicerCache r:id="rId11"/>
        <x14:slicerCache r:id="rId10"/>
        <x14:slicerCache r:id="rId9"/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<sst xmlns="http://schemas.openxmlformats.org/spreadsheetml/2006/main" count="9078" uniqueCount="2243">
  <si>
    <t>Transaction_ID</t>
  </si>
  <si>
    <t>Date</t>
  </si>
  <si>
    <t>Time</t>
  </si>
  <si>
    <t>Store_Location</t>
  </si>
  <si>
    <t>Product_Category</t>
  </si>
  <si>
    <t>Product_Name</t>
  </si>
  <si>
    <t>Quantity_Sold</t>
  </si>
  <si>
    <t>Unit_Price</t>
  </si>
  <si>
    <t>Sales_Amt</t>
  </si>
  <si>
    <t>Cost</t>
  </si>
  <si>
    <t>Profit</t>
  </si>
  <si>
    <t>Payment_Method</t>
  </si>
  <si>
    <t>Customer_Type</t>
  </si>
  <si>
    <t>Employee_ID</t>
  </si>
  <si>
    <t>T00001</t>
  </si>
  <si>
    <t>2025-07-28</t>
  </si>
  <si>
    <t>05:07:00</t>
  </si>
  <si>
    <t>University</t>
  </si>
  <si>
    <t>Cold Drinks</t>
  </si>
  <si>
    <t>Cold Brew</t>
  </si>
  <si>
    <t>Cash</t>
  </si>
  <si>
    <t>Returning</t>
  </si>
  <si>
    <t>E172</t>
  </si>
  <si>
    <t>T00002</t>
  </si>
  <si>
    <t>2025-07-15</t>
  </si>
  <si>
    <t>12:19:00</t>
  </si>
  <si>
    <t>Business District</t>
  </si>
  <si>
    <t>Bakery</t>
  </si>
  <si>
    <t>Brownie</t>
  </si>
  <si>
    <t>Member</t>
  </si>
  <si>
    <t>E191</t>
  </si>
  <si>
    <t>T00003</t>
  </si>
  <si>
    <t>2025-07-10</t>
  </si>
  <si>
    <t>15:56:00</t>
  </si>
  <si>
    <t>Coffee</t>
  </si>
  <si>
    <t>Latte</t>
  </si>
  <si>
    <t>Mobile Wallet</t>
  </si>
  <si>
    <t>E127</t>
  </si>
  <si>
    <t>T00004</t>
  </si>
  <si>
    <t>2025-09-24</t>
  </si>
  <si>
    <t>12:27:00</t>
  </si>
  <si>
    <t>Frappé</t>
  </si>
  <si>
    <t>E107</t>
  </si>
  <si>
    <t>T00005</t>
  </si>
  <si>
    <t>2025-04-13</t>
  </si>
  <si>
    <t>01:08:00</t>
  </si>
  <si>
    <t>Downtown</t>
  </si>
  <si>
    <t>Cappuccino</t>
  </si>
  <si>
    <t>E159</t>
  </si>
  <si>
    <t>T00006</t>
  </si>
  <si>
    <t>2025-11-17</t>
  </si>
  <si>
    <t>22:05:00</t>
  </si>
  <si>
    <t>Mall</t>
  </si>
  <si>
    <t>UPI</t>
  </si>
  <si>
    <t>New</t>
  </si>
  <si>
    <t>E123</t>
  </si>
  <si>
    <t>T00007</t>
  </si>
  <si>
    <t>2025-12-28</t>
  </si>
  <si>
    <t>07:25:00</t>
  </si>
  <si>
    <t>Espresso</t>
  </si>
  <si>
    <t>Credit Card</t>
  </si>
  <si>
    <t>E132</t>
  </si>
  <si>
    <t>T00008</t>
  </si>
  <si>
    <t>2025-04-19</t>
  </si>
  <si>
    <t>12:35:00</t>
  </si>
  <si>
    <t>E100</t>
  </si>
  <si>
    <t>T00009</t>
  </si>
  <si>
    <t>2025-10-25</t>
  </si>
  <si>
    <t>00:42:00</t>
  </si>
  <si>
    <t>Airport</t>
  </si>
  <si>
    <t>Croissant</t>
  </si>
  <si>
    <t>T00010</t>
  </si>
  <si>
    <t>2025-02-09</t>
  </si>
  <si>
    <t>07:29:00</t>
  </si>
  <si>
    <t>Tea</t>
  </si>
  <si>
    <t>Chai Latte</t>
  </si>
  <si>
    <t>T00011</t>
  </si>
  <si>
    <t>2025-09-12</t>
  </si>
  <si>
    <t>07:39:00</t>
  </si>
  <si>
    <t>E153</t>
  </si>
  <si>
    <t>T00012</t>
  </si>
  <si>
    <t>2025-11-22</t>
  </si>
  <si>
    <t>07:19:00</t>
  </si>
  <si>
    <t>Green Tea</t>
  </si>
  <si>
    <t>E136</t>
  </si>
  <si>
    <t>T00013</t>
  </si>
  <si>
    <t>2025-03-22</t>
  </si>
  <si>
    <t>10:37:00</t>
  </si>
  <si>
    <t>E185</t>
  </si>
  <si>
    <t>T00014</t>
  </si>
  <si>
    <t>2025-05-19</t>
  </si>
  <si>
    <t>15:24:00</t>
  </si>
  <si>
    <t>Black Tea</t>
  </si>
  <si>
    <t>E109</t>
  </si>
  <si>
    <t>T00015</t>
  </si>
  <si>
    <t>2025-12-18</t>
  </si>
  <si>
    <t>15:16:00</t>
  </si>
  <si>
    <t>E190</t>
  </si>
  <si>
    <t>T00016</t>
  </si>
  <si>
    <t>2025-12-25</t>
  </si>
  <si>
    <t>17:56:00</t>
  </si>
  <si>
    <t>E110</t>
  </si>
  <si>
    <t>T00017</t>
  </si>
  <si>
    <t>2025-05-26</t>
  </si>
  <si>
    <t>08:09:00</t>
  </si>
  <si>
    <t>E157</t>
  </si>
  <si>
    <t>T00018</t>
  </si>
  <si>
    <t>2025-07-23</t>
  </si>
  <si>
    <t>14:55:00</t>
  </si>
  <si>
    <t>T00019</t>
  </si>
  <si>
    <t>12:09:00</t>
  </si>
  <si>
    <t>E175</t>
  </si>
  <si>
    <t>T00020</t>
  </si>
  <si>
    <t>2025-02-03</t>
  </si>
  <si>
    <t>E128</t>
  </si>
  <si>
    <t>T00021</t>
  </si>
  <si>
    <t>2025-07-22</t>
  </si>
  <si>
    <t>01:51:00</t>
  </si>
  <si>
    <t>E197</t>
  </si>
  <si>
    <t>T00022</t>
  </si>
  <si>
    <t>2025-01-01</t>
  </si>
  <si>
    <t>18:00:00</t>
  </si>
  <si>
    <t>T00023</t>
  </si>
  <si>
    <t>2025-01-30</t>
  </si>
  <si>
    <t>06:03:00</t>
  </si>
  <si>
    <t>Bagel</t>
  </si>
  <si>
    <t>E151</t>
  </si>
  <si>
    <t>T00024</t>
  </si>
  <si>
    <t>2025-11-13</t>
  </si>
  <si>
    <t>03:36:00</t>
  </si>
  <si>
    <t>Americano</t>
  </si>
  <si>
    <t>E195</t>
  </si>
  <si>
    <t>T00025</t>
  </si>
  <si>
    <t>2025-05-02</t>
  </si>
  <si>
    <t>15:49:00</t>
  </si>
  <si>
    <t>Mocha</t>
  </si>
  <si>
    <t>T00026</t>
  </si>
  <si>
    <t>2025-02-04</t>
  </si>
  <si>
    <t>04:32:00</t>
  </si>
  <si>
    <t>E148</t>
  </si>
  <si>
    <t>T00027</t>
  </si>
  <si>
    <t>01:49:00</t>
  </si>
  <si>
    <t>E103</t>
  </si>
  <si>
    <t>T00028</t>
  </si>
  <si>
    <t>2025-04-14</t>
  </si>
  <si>
    <t>01:45:00</t>
  </si>
  <si>
    <t>Iced Latte</t>
  </si>
  <si>
    <t>E152</t>
  </si>
  <si>
    <t>T00029</t>
  </si>
  <si>
    <t>2025-11-12</t>
  </si>
  <si>
    <t>16:49:00</t>
  </si>
  <si>
    <t>E137</t>
  </si>
  <si>
    <t>T00030</t>
  </si>
  <si>
    <t>2025-12-02</t>
  </si>
  <si>
    <t>23:14:00</t>
  </si>
  <si>
    <t>E119</t>
  </si>
  <si>
    <t>T00031</t>
  </si>
  <si>
    <t>2025-04-17</t>
  </si>
  <si>
    <t>17:17:00</t>
  </si>
  <si>
    <t>T00032</t>
  </si>
  <si>
    <t>2025-05-15</t>
  </si>
  <si>
    <t>19:55:00</t>
  </si>
  <si>
    <t>T00033</t>
  </si>
  <si>
    <t>2025-06-08</t>
  </si>
  <si>
    <t>07:30:00</t>
  </si>
  <si>
    <t>E134</t>
  </si>
  <si>
    <t>T00034</t>
  </si>
  <si>
    <t>2025-04-23</t>
  </si>
  <si>
    <t>05:22:00</t>
  </si>
  <si>
    <t>Muffin</t>
  </si>
  <si>
    <t>E154</t>
  </si>
  <si>
    <t>T00035</t>
  </si>
  <si>
    <t>2025-09-23</t>
  </si>
  <si>
    <t>06:18:00</t>
  </si>
  <si>
    <t>E126</t>
  </si>
  <si>
    <t>T00036</t>
  </si>
  <si>
    <t>23:15:00</t>
  </si>
  <si>
    <t>E171</t>
  </si>
  <si>
    <t>T00037</t>
  </si>
  <si>
    <t>2025-01-23</t>
  </si>
  <si>
    <t>01:36:00</t>
  </si>
  <si>
    <t>T00038</t>
  </si>
  <si>
    <t>10:49:00</t>
  </si>
  <si>
    <t>E131</t>
  </si>
  <si>
    <t>T00039</t>
  </si>
  <si>
    <t>2025-10-14</t>
  </si>
  <si>
    <t>09:15:00</t>
  </si>
  <si>
    <t>E115</t>
  </si>
  <si>
    <t>T00040</t>
  </si>
  <si>
    <t>2025-11-21</t>
  </si>
  <si>
    <t>01:09:00</t>
  </si>
  <si>
    <t>E140</t>
  </si>
  <si>
    <t>T00041</t>
  </si>
  <si>
    <t>2025-05-23</t>
  </si>
  <si>
    <t>23:40:00</t>
  </si>
  <si>
    <t>T00042</t>
  </si>
  <si>
    <t>2025-10-12</t>
  </si>
  <si>
    <t>21:51:00</t>
  </si>
  <si>
    <t>T00043</t>
  </si>
  <si>
    <t>03:06:00</t>
  </si>
  <si>
    <t>E149</t>
  </si>
  <si>
    <t>T00044</t>
  </si>
  <si>
    <t>2025-08-11</t>
  </si>
  <si>
    <t>21:43:00</t>
  </si>
  <si>
    <t>T00045</t>
  </si>
  <si>
    <t>2025-12-01</t>
  </si>
  <si>
    <t>01:04:00</t>
  </si>
  <si>
    <t>E156</t>
  </si>
  <si>
    <t>T00046</t>
  </si>
  <si>
    <t>E192</t>
  </si>
  <si>
    <t>T00047</t>
  </si>
  <si>
    <t>16:14:00</t>
  </si>
  <si>
    <t>E102</t>
  </si>
  <si>
    <t>T00048</t>
  </si>
  <si>
    <t>2025-11-30</t>
  </si>
  <si>
    <t>14:12:00</t>
  </si>
  <si>
    <t>E164</t>
  </si>
  <si>
    <t>T00049</t>
  </si>
  <si>
    <t>2025-01-24</t>
  </si>
  <si>
    <t>10:22:00</t>
  </si>
  <si>
    <t>T00050</t>
  </si>
  <si>
    <t>2025-11-25</t>
  </si>
  <si>
    <t>16:25:00</t>
  </si>
  <si>
    <t>E104</t>
  </si>
  <si>
    <t>T00051</t>
  </si>
  <si>
    <t>2025-03-24</t>
  </si>
  <si>
    <t>12:16:00</t>
  </si>
  <si>
    <t>T00052</t>
  </si>
  <si>
    <t>2025-11-07</t>
  </si>
  <si>
    <t>23:38:00</t>
  </si>
  <si>
    <t>E135</t>
  </si>
  <si>
    <t>T00053</t>
  </si>
  <si>
    <t>2025-02-17</t>
  </si>
  <si>
    <t>03:44:00</t>
  </si>
  <si>
    <t>E178</t>
  </si>
  <si>
    <t>T00054</t>
  </si>
  <si>
    <t>2025-02-11</t>
  </si>
  <si>
    <t>22:45:00</t>
  </si>
  <si>
    <t>E133</t>
  </si>
  <si>
    <t>T00055</t>
  </si>
  <si>
    <t>2025-11-26</t>
  </si>
  <si>
    <t>09:29:00</t>
  </si>
  <si>
    <t>E196</t>
  </si>
  <si>
    <t>T00056</t>
  </si>
  <si>
    <t>2025-10-29</t>
  </si>
  <si>
    <t>04:33:00</t>
  </si>
  <si>
    <t>T00057</t>
  </si>
  <si>
    <t>2025-08-14</t>
  </si>
  <si>
    <t>09:27:00</t>
  </si>
  <si>
    <t>T00058</t>
  </si>
  <si>
    <t>2025-12-19</t>
  </si>
  <si>
    <t>02:54:00</t>
  </si>
  <si>
    <t>T00059</t>
  </si>
  <si>
    <t>11:21:00</t>
  </si>
  <si>
    <t>T00060</t>
  </si>
  <si>
    <t>2025-02-25</t>
  </si>
  <si>
    <t>07:21:00</t>
  </si>
  <si>
    <t>E173</t>
  </si>
  <si>
    <t>T00061</t>
  </si>
  <si>
    <t>2025-09-26</t>
  </si>
  <si>
    <t>08:17:00</t>
  </si>
  <si>
    <t>E176</t>
  </si>
  <si>
    <t>T00062</t>
  </si>
  <si>
    <t>2025-03-09</t>
  </si>
  <si>
    <t>10:38:00</t>
  </si>
  <si>
    <t>T00063</t>
  </si>
  <si>
    <t>2025-06-07</t>
  </si>
  <si>
    <t>15:41:00</t>
  </si>
  <si>
    <t>T00064</t>
  </si>
  <si>
    <t>2025-07-27</t>
  </si>
  <si>
    <t>11:07:00</t>
  </si>
  <si>
    <t>E142</t>
  </si>
  <si>
    <t>T00065</t>
  </si>
  <si>
    <t>2025-03-17</t>
  </si>
  <si>
    <t>10:01:00</t>
  </si>
  <si>
    <t>T00066</t>
  </si>
  <si>
    <t>2025-10-06</t>
  </si>
  <si>
    <t>22:04:00</t>
  </si>
  <si>
    <t>E161</t>
  </si>
  <si>
    <t>T00067</t>
  </si>
  <si>
    <t>2025-04-09</t>
  </si>
  <si>
    <t>00:31:00</t>
  </si>
  <si>
    <t>T00068</t>
  </si>
  <si>
    <t>2025-01-22</t>
  </si>
  <si>
    <t>03:38:00</t>
  </si>
  <si>
    <t>E162</t>
  </si>
  <si>
    <t>T00069</t>
  </si>
  <si>
    <t>E169</t>
  </si>
  <si>
    <t>T00070</t>
  </si>
  <si>
    <t>2025-04-26</t>
  </si>
  <si>
    <t>10:59:00</t>
  </si>
  <si>
    <t>T00071</t>
  </si>
  <si>
    <t>2025-02-24</t>
  </si>
  <si>
    <t>15:06:00</t>
  </si>
  <si>
    <t>T00072</t>
  </si>
  <si>
    <t>2025-12-27</t>
  </si>
  <si>
    <t>03:10:00</t>
  </si>
  <si>
    <t>T00073</t>
  </si>
  <si>
    <t>2025-04-15</t>
  </si>
  <si>
    <t>11:25:00</t>
  </si>
  <si>
    <t>T00074</t>
  </si>
  <si>
    <t>2025-12-13</t>
  </si>
  <si>
    <t>07:15:00</t>
  </si>
  <si>
    <t>E138</t>
  </si>
  <si>
    <t>T00075</t>
  </si>
  <si>
    <t>2025-06-10</t>
  </si>
  <si>
    <t>05:59:00</t>
  </si>
  <si>
    <t>T00076</t>
  </si>
  <si>
    <t>2025-11-10</t>
  </si>
  <si>
    <t>22:09:00</t>
  </si>
  <si>
    <t>T00077</t>
  </si>
  <si>
    <t>08:13:00</t>
  </si>
  <si>
    <t>E106</t>
  </si>
  <si>
    <t>T00078</t>
  </si>
  <si>
    <t>2025-03-28</t>
  </si>
  <si>
    <t>21:14:00</t>
  </si>
  <si>
    <t>T00079</t>
  </si>
  <si>
    <t>2025-03-29</t>
  </si>
  <si>
    <t>19:03:00</t>
  </si>
  <si>
    <t>T00080</t>
  </si>
  <si>
    <t>2025-02-10</t>
  </si>
  <si>
    <t>02:13:00</t>
  </si>
  <si>
    <t>E141</t>
  </si>
  <si>
    <t>T00081</t>
  </si>
  <si>
    <t>2025-12-20</t>
  </si>
  <si>
    <t>23:51:00</t>
  </si>
  <si>
    <t>E112</t>
  </si>
  <si>
    <t>T00082</t>
  </si>
  <si>
    <t>2025-02-05</t>
  </si>
  <si>
    <t>12:05:00</t>
  </si>
  <si>
    <t>T00083</t>
  </si>
  <si>
    <t>00:51:00</t>
  </si>
  <si>
    <t>T00084</t>
  </si>
  <si>
    <t>2025-04-18</t>
  </si>
  <si>
    <t>00:12:00</t>
  </si>
  <si>
    <t>T00085</t>
  </si>
  <si>
    <t>2025-02-02</t>
  </si>
  <si>
    <t>19:24:00</t>
  </si>
  <si>
    <t>T00086</t>
  </si>
  <si>
    <t>2025-06-04</t>
  </si>
  <si>
    <t>16:18:00</t>
  </si>
  <si>
    <t>T00087</t>
  </si>
  <si>
    <t>2025-04-16</t>
  </si>
  <si>
    <t>02:01:00</t>
  </si>
  <si>
    <t>T00088</t>
  </si>
  <si>
    <t>20:56:00</t>
  </si>
  <si>
    <t>T00089</t>
  </si>
  <si>
    <t>2025-07-26</t>
  </si>
  <si>
    <t>05:06:00</t>
  </si>
  <si>
    <t>T00090</t>
  </si>
  <si>
    <t>2025-05-11</t>
  </si>
  <si>
    <t>14:43:00</t>
  </si>
  <si>
    <t>E111</t>
  </si>
  <si>
    <t>T00091</t>
  </si>
  <si>
    <t>2025-07-12</t>
  </si>
  <si>
    <t>21:47:00</t>
  </si>
  <si>
    <t>T00092</t>
  </si>
  <si>
    <t>2025-08-09</t>
  </si>
  <si>
    <t>01:34:00</t>
  </si>
  <si>
    <t>T00093</t>
  </si>
  <si>
    <t>2025-09-10</t>
  </si>
  <si>
    <t>13:24:00</t>
  </si>
  <si>
    <t>T00094</t>
  </si>
  <si>
    <t>2025-04-27</t>
  </si>
  <si>
    <t>00:53:00</t>
  </si>
  <si>
    <t>E125</t>
  </si>
  <si>
    <t>T00095</t>
  </si>
  <si>
    <t>14:51:00</t>
  </si>
  <si>
    <t>E180</t>
  </si>
  <si>
    <t>T00096</t>
  </si>
  <si>
    <t>05:54:00</t>
  </si>
  <si>
    <t>T00097</t>
  </si>
  <si>
    <t>00:34:00</t>
  </si>
  <si>
    <t>E158</t>
  </si>
  <si>
    <t>T00098</t>
  </si>
  <si>
    <t>2025-08-07</t>
  </si>
  <si>
    <t>00:29:00</t>
  </si>
  <si>
    <t>E194</t>
  </si>
  <si>
    <t>T00099</t>
  </si>
  <si>
    <t>2025-04-08</t>
  </si>
  <si>
    <t>04:08:00</t>
  </si>
  <si>
    <t>E120</t>
  </si>
  <si>
    <t>T00100</t>
  </si>
  <si>
    <t>06:21:00</t>
  </si>
  <si>
    <t>E163</t>
  </si>
  <si>
    <t>T00101</t>
  </si>
  <si>
    <t>2025-06-05</t>
  </si>
  <si>
    <t>04:41:00</t>
  </si>
  <si>
    <t>T00102</t>
  </si>
  <si>
    <t>2025-11-24</t>
  </si>
  <si>
    <t>15:54:00</t>
  </si>
  <si>
    <t>T00103</t>
  </si>
  <si>
    <t>2025-06-23</t>
  </si>
  <si>
    <t>22:12:00</t>
  </si>
  <si>
    <t>T00104</t>
  </si>
  <si>
    <t>2025-10-08</t>
  </si>
  <si>
    <t>22:53:00</t>
  </si>
  <si>
    <t>E130</t>
  </si>
  <si>
    <t>T00105</t>
  </si>
  <si>
    <t>2025-11-28</t>
  </si>
  <si>
    <t>13:20:00</t>
  </si>
  <si>
    <t>E146</t>
  </si>
  <si>
    <t>T00106</t>
  </si>
  <si>
    <t>06:24:00</t>
  </si>
  <si>
    <t>T00107</t>
  </si>
  <si>
    <t>2025-06-27</t>
  </si>
  <si>
    <t>06:10:00</t>
  </si>
  <si>
    <t>T00108</t>
  </si>
  <si>
    <t>2025-11-27</t>
  </si>
  <si>
    <t>11:24:00</t>
  </si>
  <si>
    <t>E183</t>
  </si>
  <si>
    <t>T00109</t>
  </si>
  <si>
    <t>2025-08-03</t>
  </si>
  <si>
    <t>06:15:00</t>
  </si>
  <si>
    <t>T00110</t>
  </si>
  <si>
    <t>2025-12-16</t>
  </si>
  <si>
    <t>06:20:00</t>
  </si>
  <si>
    <t>T00111</t>
  </si>
  <si>
    <t>2025-05-31</t>
  </si>
  <si>
    <t>00:52:00</t>
  </si>
  <si>
    <t>T00112</t>
  </si>
  <si>
    <t>23:31:00</t>
  </si>
  <si>
    <t>E121</t>
  </si>
  <si>
    <t>T00113</t>
  </si>
  <si>
    <t>00:30:00</t>
  </si>
  <si>
    <t>T00114</t>
  </si>
  <si>
    <t>2025-04-20</t>
  </si>
  <si>
    <t>12:38:00</t>
  </si>
  <si>
    <t>T00115</t>
  </si>
  <si>
    <t>2025-03-05</t>
  </si>
  <si>
    <t>22:15:00</t>
  </si>
  <si>
    <t>E160</t>
  </si>
  <si>
    <t>T00116</t>
  </si>
  <si>
    <t>2025-07-30</t>
  </si>
  <si>
    <t>02:45:00</t>
  </si>
  <si>
    <t>T00117</t>
  </si>
  <si>
    <t>2025-01-12</t>
  </si>
  <si>
    <t>16:05:00</t>
  </si>
  <si>
    <t>T00118</t>
  </si>
  <si>
    <t>T00119</t>
  </si>
  <si>
    <t>2025-11-14</t>
  </si>
  <si>
    <t>09:24:00</t>
  </si>
  <si>
    <t>T00120</t>
  </si>
  <si>
    <t>2025-01-28</t>
  </si>
  <si>
    <t>14:18:00</t>
  </si>
  <si>
    <t>T00121</t>
  </si>
  <si>
    <t>2025-06-01</t>
  </si>
  <si>
    <t>11:42:00</t>
  </si>
  <si>
    <t>E186</t>
  </si>
  <si>
    <t>T00122</t>
  </si>
  <si>
    <t>04:56:00</t>
  </si>
  <si>
    <t>E124</t>
  </si>
  <si>
    <t>T00123</t>
  </si>
  <si>
    <t>2025-12-15</t>
  </si>
  <si>
    <t>08:32:00</t>
  </si>
  <si>
    <t>T00124</t>
  </si>
  <si>
    <t>2025-08-29</t>
  </si>
  <si>
    <t>03:52:00</t>
  </si>
  <si>
    <t>T00125</t>
  </si>
  <si>
    <t>13:00:00</t>
  </si>
  <si>
    <t>T00126</t>
  </si>
  <si>
    <t>2025-04-10</t>
  </si>
  <si>
    <t>16:57:00</t>
  </si>
  <si>
    <t>T00127</t>
  </si>
  <si>
    <t>2025-09-09</t>
  </si>
  <si>
    <t>21:58:00</t>
  </si>
  <si>
    <t>E144</t>
  </si>
  <si>
    <t>T00128</t>
  </si>
  <si>
    <t>2025-02-01</t>
  </si>
  <si>
    <t>16:24:00</t>
  </si>
  <si>
    <t>E187</t>
  </si>
  <si>
    <t>T00129</t>
  </si>
  <si>
    <t>05:31:00</t>
  </si>
  <si>
    <t>E168</t>
  </si>
  <si>
    <t>T00130</t>
  </si>
  <si>
    <t>2025-10-05</t>
  </si>
  <si>
    <t>19:40:00</t>
  </si>
  <si>
    <t>T00131</t>
  </si>
  <si>
    <t>2025-06-29</t>
  </si>
  <si>
    <t>17:58:00</t>
  </si>
  <si>
    <t>T00132</t>
  </si>
  <si>
    <t>2025-02-14</t>
  </si>
  <si>
    <t>13:55:00</t>
  </si>
  <si>
    <t>E108</t>
  </si>
  <si>
    <t>T00133</t>
  </si>
  <si>
    <t>T00134</t>
  </si>
  <si>
    <t>2025-04-04</t>
  </si>
  <si>
    <t>05:10:00</t>
  </si>
  <si>
    <t>T00135</t>
  </si>
  <si>
    <t>2025-04-24</t>
  </si>
  <si>
    <t>03:50:00</t>
  </si>
  <si>
    <t>E105</t>
  </si>
  <si>
    <t>T00136</t>
  </si>
  <si>
    <t>2025-05-25</t>
  </si>
  <si>
    <t>10:41:00</t>
  </si>
  <si>
    <t>T00137</t>
  </si>
  <si>
    <t>11:54:00</t>
  </si>
  <si>
    <t>E143</t>
  </si>
  <si>
    <t>T00138</t>
  </si>
  <si>
    <t>2025-10-10</t>
  </si>
  <si>
    <t>22:31:00</t>
  </si>
  <si>
    <t>T00139</t>
  </si>
  <si>
    <t>2025-07-17</t>
  </si>
  <si>
    <t>05:53:00</t>
  </si>
  <si>
    <t>T00140</t>
  </si>
  <si>
    <t>2025-04-30</t>
  </si>
  <si>
    <t>18:23:00</t>
  </si>
  <si>
    <t>E166</t>
  </si>
  <si>
    <t>T00141</t>
  </si>
  <si>
    <t>2025-05-24</t>
  </si>
  <si>
    <t>03:45:00</t>
  </si>
  <si>
    <t>T00142</t>
  </si>
  <si>
    <t>16:12:00</t>
  </si>
  <si>
    <t>E179</t>
  </si>
  <si>
    <t>T00143</t>
  </si>
  <si>
    <t>12:57:00</t>
  </si>
  <si>
    <t>T00144</t>
  </si>
  <si>
    <t>19:38:00</t>
  </si>
  <si>
    <t>E170</t>
  </si>
  <si>
    <t>T00145</t>
  </si>
  <si>
    <t>2025-03-31</t>
  </si>
  <si>
    <t>16:54:00</t>
  </si>
  <si>
    <t>T00146</t>
  </si>
  <si>
    <t>2025-05-18</t>
  </si>
  <si>
    <t>06:48:00</t>
  </si>
  <si>
    <t>T00147</t>
  </si>
  <si>
    <t>17:25:00</t>
  </si>
  <si>
    <t>T00148</t>
  </si>
  <si>
    <t>2025-01-27</t>
  </si>
  <si>
    <t>09:11:00</t>
  </si>
  <si>
    <t>E188</t>
  </si>
  <si>
    <t>T00149</t>
  </si>
  <si>
    <t>2025-10-24</t>
  </si>
  <si>
    <t>09:20:00</t>
  </si>
  <si>
    <t>E155</t>
  </si>
  <si>
    <t>T00150</t>
  </si>
  <si>
    <t>13:14:00</t>
  </si>
  <si>
    <t>T00151</t>
  </si>
  <si>
    <t>2025-10-22</t>
  </si>
  <si>
    <t>20:45:00</t>
  </si>
  <si>
    <t>T00152</t>
  </si>
  <si>
    <t>2025-05-22</t>
  </si>
  <si>
    <t>19:02:00</t>
  </si>
  <si>
    <t>T00153</t>
  </si>
  <si>
    <t>00:38:00</t>
  </si>
  <si>
    <t>T00154</t>
  </si>
  <si>
    <t>16:26:00</t>
  </si>
  <si>
    <t>T00155</t>
  </si>
  <si>
    <t>2025-02-08</t>
  </si>
  <si>
    <t>06:01:00</t>
  </si>
  <si>
    <t>E177</t>
  </si>
  <si>
    <t>T00156</t>
  </si>
  <si>
    <t>2025-10-26</t>
  </si>
  <si>
    <t>23:20:00</t>
  </si>
  <si>
    <t>T00157</t>
  </si>
  <si>
    <t>2025-05-29</t>
  </si>
  <si>
    <t>12:10:00</t>
  </si>
  <si>
    <t>T00158</t>
  </si>
  <si>
    <t>09:28:00</t>
  </si>
  <si>
    <t>T00159</t>
  </si>
  <si>
    <t>E182</t>
  </si>
  <si>
    <t>T00160</t>
  </si>
  <si>
    <t>15:50:00</t>
  </si>
  <si>
    <t>T00161</t>
  </si>
  <si>
    <t>21:05:00</t>
  </si>
  <si>
    <t>T00162</t>
  </si>
  <si>
    <t>2025-06-24</t>
  </si>
  <si>
    <t>18:30:00</t>
  </si>
  <si>
    <t>T00163</t>
  </si>
  <si>
    <t>2025-03-15</t>
  </si>
  <si>
    <t>19:50:00</t>
  </si>
  <si>
    <t>T00164</t>
  </si>
  <si>
    <t>2025-09-02</t>
  </si>
  <si>
    <t>18:49:00</t>
  </si>
  <si>
    <t>E129</t>
  </si>
  <si>
    <t>T00165</t>
  </si>
  <si>
    <t>2025-10-07</t>
  </si>
  <si>
    <t>T00166</t>
  </si>
  <si>
    <t>2025-10-15</t>
  </si>
  <si>
    <t>12:01:00</t>
  </si>
  <si>
    <t>E189</t>
  </si>
  <si>
    <t>T00167</t>
  </si>
  <si>
    <t>2025-06-15</t>
  </si>
  <si>
    <t>16:15:00</t>
  </si>
  <si>
    <t>T00168</t>
  </si>
  <si>
    <t>2025-07-25</t>
  </si>
  <si>
    <t>11:11:00</t>
  </si>
  <si>
    <t>T00169</t>
  </si>
  <si>
    <t>2025-12-07</t>
  </si>
  <si>
    <t>09:33:00</t>
  </si>
  <si>
    <t>T00170</t>
  </si>
  <si>
    <t>2025-07-08</t>
  </si>
  <si>
    <t>21:04:00</t>
  </si>
  <si>
    <t>T00171</t>
  </si>
  <si>
    <t>2025-07-14</t>
  </si>
  <si>
    <t>14:49:00</t>
  </si>
  <si>
    <t>T00172</t>
  </si>
  <si>
    <t>2025-09-20</t>
  </si>
  <si>
    <t>22:48:00</t>
  </si>
  <si>
    <t>E150</t>
  </si>
  <si>
    <t>T00173</t>
  </si>
  <si>
    <t>2025-01-14</t>
  </si>
  <si>
    <t>T00174</t>
  </si>
  <si>
    <t>2025-06-30</t>
  </si>
  <si>
    <t>21:25:00</t>
  </si>
  <si>
    <t>T00175</t>
  </si>
  <si>
    <t>21:23:00</t>
  </si>
  <si>
    <t>T00176</t>
  </si>
  <si>
    <t>2025-11-16</t>
  </si>
  <si>
    <t>19:51:00</t>
  </si>
  <si>
    <t>T00177</t>
  </si>
  <si>
    <t>2025-07-13</t>
  </si>
  <si>
    <t>02:03:00</t>
  </si>
  <si>
    <t>T00178</t>
  </si>
  <si>
    <t>2025-07-11</t>
  </si>
  <si>
    <t>22:22:00</t>
  </si>
  <si>
    <t>T00179</t>
  </si>
  <si>
    <t>2025-02-16</t>
  </si>
  <si>
    <t>23:16:00</t>
  </si>
  <si>
    <t>T00180</t>
  </si>
  <si>
    <t>T00181</t>
  </si>
  <si>
    <t>T00182</t>
  </si>
  <si>
    <t>2025-11-11</t>
  </si>
  <si>
    <t>18:42:00</t>
  </si>
  <si>
    <t>T00183</t>
  </si>
  <si>
    <t>2025-08-13</t>
  </si>
  <si>
    <t>20:42:00</t>
  </si>
  <si>
    <t>T00184</t>
  </si>
  <si>
    <t>2025-10-31</t>
  </si>
  <si>
    <t>03:20:00</t>
  </si>
  <si>
    <t>T00185</t>
  </si>
  <si>
    <t>2025-06-26</t>
  </si>
  <si>
    <t>20:33:00</t>
  </si>
  <si>
    <t>T00186</t>
  </si>
  <si>
    <t>2025-05-17</t>
  </si>
  <si>
    <t>10:09:00</t>
  </si>
  <si>
    <t>T00187</t>
  </si>
  <si>
    <t>02:00:00</t>
  </si>
  <si>
    <t>T00188</t>
  </si>
  <si>
    <t>2025-12-30</t>
  </si>
  <si>
    <t>01:27:00</t>
  </si>
  <si>
    <t>T00189</t>
  </si>
  <si>
    <t>07:18:00</t>
  </si>
  <si>
    <t>T00190</t>
  </si>
  <si>
    <t>E117</t>
  </si>
  <si>
    <t>T00191</t>
  </si>
  <si>
    <t>03:11:00</t>
  </si>
  <si>
    <t>T00192</t>
  </si>
  <si>
    <t>2025-08-18</t>
  </si>
  <si>
    <t>04:49:00</t>
  </si>
  <si>
    <t>T00193</t>
  </si>
  <si>
    <t>18:15:00</t>
  </si>
  <si>
    <t>T00194</t>
  </si>
  <si>
    <t>2025-10-28</t>
  </si>
  <si>
    <t>09:57:00</t>
  </si>
  <si>
    <t>T00195</t>
  </si>
  <si>
    <t>2025-07-20</t>
  </si>
  <si>
    <t>05:28:00</t>
  </si>
  <si>
    <t>T00196</t>
  </si>
  <si>
    <t>2025-05-20</t>
  </si>
  <si>
    <t>10:18:00</t>
  </si>
  <si>
    <t>T00197</t>
  </si>
  <si>
    <t>18:47:00</t>
  </si>
  <si>
    <t>T00198</t>
  </si>
  <si>
    <t>2025-06-03</t>
  </si>
  <si>
    <t>07:56:00</t>
  </si>
  <si>
    <t>T00199</t>
  </si>
  <si>
    <t>2025-07-02</t>
  </si>
  <si>
    <t>06:38:00</t>
  </si>
  <si>
    <t>T00200</t>
  </si>
  <si>
    <t>2025-11-05</t>
  </si>
  <si>
    <t>11:33:00</t>
  </si>
  <si>
    <t>T00201</t>
  </si>
  <si>
    <t>2025-07-01</t>
  </si>
  <si>
    <t>01:22:00</t>
  </si>
  <si>
    <t>T00202</t>
  </si>
  <si>
    <t>02:15:00</t>
  </si>
  <si>
    <t>T00203</t>
  </si>
  <si>
    <t>2025-11-19</t>
  </si>
  <si>
    <t>20:38:00</t>
  </si>
  <si>
    <t>T00204</t>
  </si>
  <si>
    <t>2025-01-08</t>
  </si>
  <si>
    <t>12:20:00</t>
  </si>
  <si>
    <t>T00205</t>
  </si>
  <si>
    <t>2025-06-22</t>
  </si>
  <si>
    <t>05:21:00</t>
  </si>
  <si>
    <t>T00206</t>
  </si>
  <si>
    <t>2025-02-20</t>
  </si>
  <si>
    <t>T00207</t>
  </si>
  <si>
    <t>2025-01-16</t>
  </si>
  <si>
    <t>12:48:00</t>
  </si>
  <si>
    <t>T00208</t>
  </si>
  <si>
    <t>2025-08-05</t>
  </si>
  <si>
    <t>09:52:00</t>
  </si>
  <si>
    <t>T00209</t>
  </si>
  <si>
    <t>17:49:00</t>
  </si>
  <si>
    <t>T00210</t>
  </si>
  <si>
    <t>2025-11-15</t>
  </si>
  <si>
    <t>T00211</t>
  </si>
  <si>
    <t>2025-08-20</t>
  </si>
  <si>
    <t>T00212</t>
  </si>
  <si>
    <t>2025-09-15</t>
  </si>
  <si>
    <t>19:23:00</t>
  </si>
  <si>
    <t>T00213</t>
  </si>
  <si>
    <t>20:43:00</t>
  </si>
  <si>
    <t>T00214</t>
  </si>
  <si>
    <t>13:54:00</t>
  </si>
  <si>
    <t>T00215</t>
  </si>
  <si>
    <t>00:10:00</t>
  </si>
  <si>
    <t>T00216</t>
  </si>
  <si>
    <t>2025-07-19</t>
  </si>
  <si>
    <t>10:56:00</t>
  </si>
  <si>
    <t>T00217</t>
  </si>
  <si>
    <t>2025-08-06</t>
  </si>
  <si>
    <t>02:59:00</t>
  </si>
  <si>
    <t>T00218</t>
  </si>
  <si>
    <t>18:53:00</t>
  </si>
  <si>
    <t>T00219</t>
  </si>
  <si>
    <t>04:07:00</t>
  </si>
  <si>
    <t>T00220</t>
  </si>
  <si>
    <t>09:22:00</t>
  </si>
  <si>
    <t>T00221</t>
  </si>
  <si>
    <t>2025-01-15</t>
  </si>
  <si>
    <t>23:08:00</t>
  </si>
  <si>
    <t>T00222</t>
  </si>
  <si>
    <t>T00223</t>
  </si>
  <si>
    <t>02:32:00</t>
  </si>
  <si>
    <t>E198</t>
  </si>
  <si>
    <t>T00224</t>
  </si>
  <si>
    <t>22:10:00</t>
  </si>
  <si>
    <t>T00225</t>
  </si>
  <si>
    <t>20:05:00</t>
  </si>
  <si>
    <t>T00226</t>
  </si>
  <si>
    <t>2025-04-29</t>
  </si>
  <si>
    <t>18:44:00</t>
  </si>
  <si>
    <t>T00227</t>
  </si>
  <si>
    <t>03:03:00</t>
  </si>
  <si>
    <t>T00228</t>
  </si>
  <si>
    <t>08:47:00</t>
  </si>
  <si>
    <t>T00229</t>
  </si>
  <si>
    <t>2025-06-21</t>
  </si>
  <si>
    <t>00:55:00</t>
  </si>
  <si>
    <t>T00230</t>
  </si>
  <si>
    <t>14:45:00</t>
  </si>
  <si>
    <t>E165</t>
  </si>
  <si>
    <t>T00231</t>
  </si>
  <si>
    <t>02:35:00</t>
  </si>
  <si>
    <t>T00232</t>
  </si>
  <si>
    <t>2025-04-03</t>
  </si>
  <si>
    <t>21:26:00</t>
  </si>
  <si>
    <t>T00233</t>
  </si>
  <si>
    <t>03:31:00</t>
  </si>
  <si>
    <t>T00234</t>
  </si>
  <si>
    <t>06:28:00</t>
  </si>
  <si>
    <t>T00235</t>
  </si>
  <si>
    <t>2025-09-08</t>
  </si>
  <si>
    <t>06:02:00</t>
  </si>
  <si>
    <t>T00236</t>
  </si>
  <si>
    <t>13:39:00</t>
  </si>
  <si>
    <t>T00237</t>
  </si>
  <si>
    <t>2025-06-19</t>
  </si>
  <si>
    <t>T00238</t>
  </si>
  <si>
    <t>2025-03-16</t>
  </si>
  <si>
    <t>04:39:00</t>
  </si>
  <si>
    <t>T00239</t>
  </si>
  <si>
    <t>20:11:00</t>
  </si>
  <si>
    <t>T00240</t>
  </si>
  <si>
    <t>T00241</t>
  </si>
  <si>
    <t>2025-03-20</t>
  </si>
  <si>
    <t>15:23:00</t>
  </si>
  <si>
    <t>T00242</t>
  </si>
  <si>
    <t>2025-02-15</t>
  </si>
  <si>
    <t>08:44:00</t>
  </si>
  <si>
    <t>T00243</t>
  </si>
  <si>
    <t>2025-05-13</t>
  </si>
  <si>
    <t>05:42:00</t>
  </si>
  <si>
    <t>T00244</t>
  </si>
  <si>
    <t>T00245</t>
  </si>
  <si>
    <t>2025-05-28</t>
  </si>
  <si>
    <t>20:59:00</t>
  </si>
  <si>
    <t>T00246</t>
  </si>
  <si>
    <t>17:20:00</t>
  </si>
  <si>
    <t>T00247</t>
  </si>
  <si>
    <t>E145</t>
  </si>
  <si>
    <t>T00248</t>
  </si>
  <si>
    <t>17:48:00</t>
  </si>
  <si>
    <t>T00249</t>
  </si>
  <si>
    <t>2025-02-06</t>
  </si>
  <si>
    <t>T00250</t>
  </si>
  <si>
    <t>2025-08-12</t>
  </si>
  <si>
    <t>00:50:00</t>
  </si>
  <si>
    <t>T00251</t>
  </si>
  <si>
    <t>2025-06-25</t>
  </si>
  <si>
    <t>23:03:00</t>
  </si>
  <si>
    <t>E114</t>
  </si>
  <si>
    <t>T00252</t>
  </si>
  <si>
    <t>E193</t>
  </si>
  <si>
    <t>T00253</t>
  </si>
  <si>
    <t>2025-03-19</t>
  </si>
  <si>
    <t>00:07:00</t>
  </si>
  <si>
    <t>T00254</t>
  </si>
  <si>
    <t>13:17:00</t>
  </si>
  <si>
    <t>T00255</t>
  </si>
  <si>
    <t>13:42:00</t>
  </si>
  <si>
    <t>T00256</t>
  </si>
  <si>
    <t>08:55:00</t>
  </si>
  <si>
    <t>T00257</t>
  </si>
  <si>
    <t>12:47:00</t>
  </si>
  <si>
    <t>T00258</t>
  </si>
  <si>
    <t>18:50:00</t>
  </si>
  <si>
    <t>T00259</t>
  </si>
  <si>
    <t>2025-12-06</t>
  </si>
  <si>
    <t>16:16:00</t>
  </si>
  <si>
    <t>T00260</t>
  </si>
  <si>
    <t>2025-05-10</t>
  </si>
  <si>
    <t>14:01:00</t>
  </si>
  <si>
    <t>T00261</t>
  </si>
  <si>
    <t>2025-11-18</t>
  </si>
  <si>
    <t>00:24:00</t>
  </si>
  <si>
    <t>T00262</t>
  </si>
  <si>
    <t>2025-10-17</t>
  </si>
  <si>
    <t>19:28:00</t>
  </si>
  <si>
    <t>E184</t>
  </si>
  <si>
    <t>T00263</t>
  </si>
  <si>
    <t>2025-03-21</t>
  </si>
  <si>
    <t>16:48:00</t>
  </si>
  <si>
    <t>T00264</t>
  </si>
  <si>
    <t>2025-04-21</t>
  </si>
  <si>
    <t>13:28:00</t>
  </si>
  <si>
    <t>T00265</t>
  </si>
  <si>
    <t>08:01:00</t>
  </si>
  <si>
    <t>T00266</t>
  </si>
  <si>
    <t>14:41:00</t>
  </si>
  <si>
    <t>T00267</t>
  </si>
  <si>
    <t>2025-06-09</t>
  </si>
  <si>
    <t>T00268</t>
  </si>
  <si>
    <t>08:48:00</t>
  </si>
  <si>
    <t>T00269</t>
  </si>
  <si>
    <t>21:36:00</t>
  </si>
  <si>
    <t>T00270</t>
  </si>
  <si>
    <t>03:32:00</t>
  </si>
  <si>
    <t>E116</t>
  </si>
  <si>
    <t>T00271</t>
  </si>
  <si>
    <t>21:45:00</t>
  </si>
  <si>
    <t>T00272</t>
  </si>
  <si>
    <t>2025-07-09</t>
  </si>
  <si>
    <t>08:43:00</t>
  </si>
  <si>
    <t>T00273</t>
  </si>
  <si>
    <t>2025-05-09</t>
  </si>
  <si>
    <t>12:52:00</t>
  </si>
  <si>
    <t>E181</t>
  </si>
  <si>
    <t>T00274</t>
  </si>
  <si>
    <t>2025-11-03</t>
  </si>
  <si>
    <t>11:05:00</t>
  </si>
  <si>
    <t>T00275</t>
  </si>
  <si>
    <t>2025-03-23</t>
  </si>
  <si>
    <t>18:46:00</t>
  </si>
  <si>
    <t>T00276</t>
  </si>
  <si>
    <t>2025-06-18</t>
  </si>
  <si>
    <t>T00277</t>
  </si>
  <si>
    <t>2025-06-14</t>
  </si>
  <si>
    <t>18:22:00</t>
  </si>
  <si>
    <t>E199</t>
  </si>
  <si>
    <t>T00278</t>
  </si>
  <si>
    <t>20:09:00</t>
  </si>
  <si>
    <t>T00279</t>
  </si>
  <si>
    <t>T00280</t>
  </si>
  <si>
    <t>2025-09-22</t>
  </si>
  <si>
    <t>10:30:00</t>
  </si>
  <si>
    <t>T00281</t>
  </si>
  <si>
    <t>2025-08-28</t>
  </si>
  <si>
    <t>07:38:00</t>
  </si>
  <si>
    <t>T00282</t>
  </si>
  <si>
    <t>08:49:00</t>
  </si>
  <si>
    <t>T00283</t>
  </si>
  <si>
    <t>2025-03-04</t>
  </si>
  <si>
    <t>08:06:00</t>
  </si>
  <si>
    <t>T00284</t>
  </si>
  <si>
    <t>00:06:00</t>
  </si>
  <si>
    <t>T00285</t>
  </si>
  <si>
    <t>2025-08-24</t>
  </si>
  <si>
    <t>09:25:00</t>
  </si>
  <si>
    <t>T00286</t>
  </si>
  <si>
    <t>09:44:00</t>
  </si>
  <si>
    <t>T00287</t>
  </si>
  <si>
    <t>2025-09-14</t>
  </si>
  <si>
    <t>08:07:00</t>
  </si>
  <si>
    <t>E101</t>
  </si>
  <si>
    <t>T00288</t>
  </si>
  <si>
    <t>18:16:00</t>
  </si>
  <si>
    <t>T00289</t>
  </si>
  <si>
    <t>T00290</t>
  </si>
  <si>
    <t>14:31:00</t>
  </si>
  <si>
    <t>T00291</t>
  </si>
  <si>
    <t>03:04:00</t>
  </si>
  <si>
    <t>T00292</t>
  </si>
  <si>
    <t>E174</t>
  </si>
  <si>
    <t>T00293</t>
  </si>
  <si>
    <t>2025-03-26</t>
  </si>
  <si>
    <t>18:57:00</t>
  </si>
  <si>
    <t>T00294</t>
  </si>
  <si>
    <t>13:38:00</t>
  </si>
  <si>
    <t>T00295</t>
  </si>
  <si>
    <t>2025-12-05</t>
  </si>
  <si>
    <t>T00296</t>
  </si>
  <si>
    <t>2025-04-12</t>
  </si>
  <si>
    <t>13:35:00</t>
  </si>
  <si>
    <t>T00297</t>
  </si>
  <si>
    <t>2025-08-08</t>
  </si>
  <si>
    <t>00:03:00</t>
  </si>
  <si>
    <t>T00298</t>
  </si>
  <si>
    <t>2025-01-03</t>
  </si>
  <si>
    <t>01:06:00</t>
  </si>
  <si>
    <t>T00299</t>
  </si>
  <si>
    <t>18:34:00</t>
  </si>
  <si>
    <t>E118</t>
  </si>
  <si>
    <t>T00300</t>
  </si>
  <si>
    <t>08:30:00</t>
  </si>
  <si>
    <t>T00301</t>
  </si>
  <si>
    <t>2025-08-27</t>
  </si>
  <si>
    <t>20:34:00</t>
  </si>
  <si>
    <t>T00302</t>
  </si>
  <si>
    <t>2025-11-08</t>
  </si>
  <si>
    <t>03:00:00</t>
  </si>
  <si>
    <t>T00303</t>
  </si>
  <si>
    <t>2025-12-22</t>
  </si>
  <si>
    <t>22:39:00</t>
  </si>
  <si>
    <t>T00304</t>
  </si>
  <si>
    <t>2025-08-23</t>
  </si>
  <si>
    <t>19:39:00</t>
  </si>
  <si>
    <t>T00305</t>
  </si>
  <si>
    <t>18:09:00</t>
  </si>
  <si>
    <t>T00306</t>
  </si>
  <si>
    <t>16:17:00</t>
  </si>
  <si>
    <t>T00307</t>
  </si>
  <si>
    <t>2025-02-07</t>
  </si>
  <si>
    <t>T00308</t>
  </si>
  <si>
    <t>2025-11-29</t>
  </si>
  <si>
    <t>10:48:00</t>
  </si>
  <si>
    <t>T00309</t>
  </si>
  <si>
    <t>2025-02-19</t>
  </si>
  <si>
    <t>T00310</t>
  </si>
  <si>
    <t>T00311</t>
  </si>
  <si>
    <t>09:19:00</t>
  </si>
  <si>
    <t>T00312</t>
  </si>
  <si>
    <t>2025-10-23</t>
  </si>
  <si>
    <t>04:31:00</t>
  </si>
  <si>
    <t>T00313</t>
  </si>
  <si>
    <t>05:52:00</t>
  </si>
  <si>
    <t>T00314</t>
  </si>
  <si>
    <t>18:20:00</t>
  </si>
  <si>
    <t>T00315</t>
  </si>
  <si>
    <t>2025-07-06</t>
  </si>
  <si>
    <t>02:18:00</t>
  </si>
  <si>
    <t>T00316</t>
  </si>
  <si>
    <t>19:14:00</t>
  </si>
  <si>
    <t>T00317</t>
  </si>
  <si>
    <t>2025-09-06</t>
  </si>
  <si>
    <t>01:40:00</t>
  </si>
  <si>
    <t>T00318</t>
  </si>
  <si>
    <t>11:49:00</t>
  </si>
  <si>
    <t>T00319</t>
  </si>
  <si>
    <t>21:37:00</t>
  </si>
  <si>
    <t>T00320</t>
  </si>
  <si>
    <t>2025-01-18</t>
  </si>
  <si>
    <t>T00321</t>
  </si>
  <si>
    <t>2025-06-06</t>
  </si>
  <si>
    <t>T00322</t>
  </si>
  <si>
    <t>2025-07-16</t>
  </si>
  <si>
    <t>07:44:00</t>
  </si>
  <si>
    <t>E147</t>
  </si>
  <si>
    <t>T00323</t>
  </si>
  <si>
    <t>08:33:00</t>
  </si>
  <si>
    <t>T00324</t>
  </si>
  <si>
    <t>2025-09-13</t>
  </si>
  <si>
    <t>16:01:00</t>
  </si>
  <si>
    <t>T00325</t>
  </si>
  <si>
    <t>06:12:00</t>
  </si>
  <si>
    <t>T00326</t>
  </si>
  <si>
    <t>22:25:00</t>
  </si>
  <si>
    <t>T00327</t>
  </si>
  <si>
    <t>2025-02-22</t>
  </si>
  <si>
    <t>05:26:00</t>
  </si>
  <si>
    <t>T00328</t>
  </si>
  <si>
    <t>02:50:00</t>
  </si>
  <si>
    <t>T00329</t>
  </si>
  <si>
    <t>03:47:00</t>
  </si>
  <si>
    <t>T00330</t>
  </si>
  <si>
    <t>12:49:00</t>
  </si>
  <si>
    <t>T00331</t>
  </si>
  <si>
    <t>21:10:00</t>
  </si>
  <si>
    <t>T00332</t>
  </si>
  <si>
    <t>2025-03-27</t>
  </si>
  <si>
    <t>T00333</t>
  </si>
  <si>
    <t>2025-12-08</t>
  </si>
  <si>
    <t>19:11:00</t>
  </si>
  <si>
    <t>T00334</t>
  </si>
  <si>
    <t>2025-04-01</t>
  </si>
  <si>
    <t>18:51:00</t>
  </si>
  <si>
    <t>T00335</t>
  </si>
  <si>
    <t>15:28:00</t>
  </si>
  <si>
    <t>T00336</t>
  </si>
  <si>
    <t>07:07:00</t>
  </si>
  <si>
    <t>T00337</t>
  </si>
  <si>
    <t>08:31:00</t>
  </si>
  <si>
    <t>T00338</t>
  </si>
  <si>
    <t>09:50:00</t>
  </si>
  <si>
    <t>T00339</t>
  </si>
  <si>
    <t>18:31:00</t>
  </si>
  <si>
    <t>T00340</t>
  </si>
  <si>
    <t>14:08:00</t>
  </si>
  <si>
    <t>T00341</t>
  </si>
  <si>
    <t>2025-06-11</t>
  </si>
  <si>
    <t>T00342</t>
  </si>
  <si>
    <t>06:04:00</t>
  </si>
  <si>
    <t>T00343</t>
  </si>
  <si>
    <t>2025-04-05</t>
  </si>
  <si>
    <t>08:56:00</t>
  </si>
  <si>
    <t>T00344</t>
  </si>
  <si>
    <t>00:19:00</t>
  </si>
  <si>
    <t>T00345</t>
  </si>
  <si>
    <t>20:55:00</t>
  </si>
  <si>
    <t>T00346</t>
  </si>
  <si>
    <t>2025-12-14</t>
  </si>
  <si>
    <t>20:07:00</t>
  </si>
  <si>
    <t>T00347</t>
  </si>
  <si>
    <t>2025-03-30</t>
  </si>
  <si>
    <t>02:25:00</t>
  </si>
  <si>
    <t>T00348</t>
  </si>
  <si>
    <t>2025-08-01</t>
  </si>
  <si>
    <t>12:45:00</t>
  </si>
  <si>
    <t>T00349</t>
  </si>
  <si>
    <t>2025-05-21</t>
  </si>
  <si>
    <t>10:44:00</t>
  </si>
  <si>
    <t>T00350</t>
  </si>
  <si>
    <t>03:07:00</t>
  </si>
  <si>
    <t>T00351</t>
  </si>
  <si>
    <t>2025-08-16</t>
  </si>
  <si>
    <t>07:42:00</t>
  </si>
  <si>
    <t>T00352</t>
  </si>
  <si>
    <t>T00353</t>
  </si>
  <si>
    <t>11:38:00</t>
  </si>
  <si>
    <t>T00354</t>
  </si>
  <si>
    <t>2025-03-02</t>
  </si>
  <si>
    <t>20:39:00</t>
  </si>
  <si>
    <t>T00355</t>
  </si>
  <si>
    <t>T00356</t>
  </si>
  <si>
    <t>2025-02-27</t>
  </si>
  <si>
    <t>06:52:00</t>
  </si>
  <si>
    <t>T00357</t>
  </si>
  <si>
    <t>2025-09-21</t>
  </si>
  <si>
    <t>11:31:00</t>
  </si>
  <si>
    <t>T00358</t>
  </si>
  <si>
    <t>03:40:00</t>
  </si>
  <si>
    <t>T00359</t>
  </si>
  <si>
    <t>T00360</t>
  </si>
  <si>
    <t>06:06:00</t>
  </si>
  <si>
    <t>T00361</t>
  </si>
  <si>
    <t>2025-10-20</t>
  </si>
  <si>
    <t>21:07:00</t>
  </si>
  <si>
    <t>T00362</t>
  </si>
  <si>
    <t>17:29:00</t>
  </si>
  <si>
    <t>T00363</t>
  </si>
  <si>
    <t>2025-01-21</t>
  </si>
  <si>
    <t>01:57:00</t>
  </si>
  <si>
    <t>T00364</t>
  </si>
  <si>
    <t>2025-12-21</t>
  </si>
  <si>
    <t>05:55:00</t>
  </si>
  <si>
    <t>T00365</t>
  </si>
  <si>
    <t>10:45:00</t>
  </si>
  <si>
    <t>T00366</t>
  </si>
  <si>
    <t>2025-12-23</t>
  </si>
  <si>
    <t>T00367</t>
  </si>
  <si>
    <t>21:52:00</t>
  </si>
  <si>
    <t>T00368</t>
  </si>
  <si>
    <t>2025-06-13</t>
  </si>
  <si>
    <t>08:21:00</t>
  </si>
  <si>
    <t>T00369</t>
  </si>
  <si>
    <t>15:45:00</t>
  </si>
  <si>
    <t>T00370</t>
  </si>
  <si>
    <t>23:59:00</t>
  </si>
  <si>
    <t>T00371</t>
  </si>
  <si>
    <t>04:27:00</t>
  </si>
  <si>
    <t>T00372</t>
  </si>
  <si>
    <t>2025-04-11</t>
  </si>
  <si>
    <t>13:30:00</t>
  </si>
  <si>
    <t>T00373</t>
  </si>
  <si>
    <t>T00374</t>
  </si>
  <si>
    <t>T00375</t>
  </si>
  <si>
    <t>22:59:00</t>
  </si>
  <si>
    <t>T00376</t>
  </si>
  <si>
    <t>2025-09-30</t>
  </si>
  <si>
    <t>16:34:00</t>
  </si>
  <si>
    <t>T00377</t>
  </si>
  <si>
    <t>T00378</t>
  </si>
  <si>
    <t>08:23:00</t>
  </si>
  <si>
    <t>T00379</t>
  </si>
  <si>
    <t>10:04:00</t>
  </si>
  <si>
    <t>T00380</t>
  </si>
  <si>
    <t>20:29:00</t>
  </si>
  <si>
    <t>T00381</t>
  </si>
  <si>
    <t>T00382</t>
  </si>
  <si>
    <t>2025-08-17</t>
  </si>
  <si>
    <t>12:15:00</t>
  </si>
  <si>
    <t>T00383</t>
  </si>
  <si>
    <t>2025-03-12</t>
  </si>
  <si>
    <t>T00384</t>
  </si>
  <si>
    <t>21:30:00</t>
  </si>
  <si>
    <t>T00385</t>
  </si>
  <si>
    <t>12:25:00</t>
  </si>
  <si>
    <t>T00386</t>
  </si>
  <si>
    <t>05:23:00</t>
  </si>
  <si>
    <t>T00387</t>
  </si>
  <si>
    <t>2025-11-01</t>
  </si>
  <si>
    <t>18:35:00</t>
  </si>
  <si>
    <t>T00388</t>
  </si>
  <si>
    <t>T00389</t>
  </si>
  <si>
    <t>05:48:00</t>
  </si>
  <si>
    <t>E113</t>
  </si>
  <si>
    <t>T00390</t>
  </si>
  <si>
    <t>2025-01-31</t>
  </si>
  <si>
    <t>T00391</t>
  </si>
  <si>
    <t>06:47:00</t>
  </si>
  <si>
    <t>T00392</t>
  </si>
  <si>
    <t>05:20:00</t>
  </si>
  <si>
    <t>T00393</t>
  </si>
  <si>
    <t>02:42:00</t>
  </si>
  <si>
    <t>T00394</t>
  </si>
  <si>
    <t>05:25:00</t>
  </si>
  <si>
    <t>T00395</t>
  </si>
  <si>
    <t>02:44:00</t>
  </si>
  <si>
    <t>T00396</t>
  </si>
  <si>
    <t>17:51:00</t>
  </si>
  <si>
    <t>T00397</t>
  </si>
  <si>
    <t>15:18:00</t>
  </si>
  <si>
    <t>T00398</t>
  </si>
  <si>
    <t>2025-08-02</t>
  </si>
  <si>
    <t>17:45:00</t>
  </si>
  <si>
    <t>T00399</t>
  </si>
  <si>
    <t>01:25:00</t>
  </si>
  <si>
    <t>T00400</t>
  </si>
  <si>
    <t>23:54:00</t>
  </si>
  <si>
    <t>T00401</t>
  </si>
  <si>
    <t>T00402</t>
  </si>
  <si>
    <t>2025-01-06</t>
  </si>
  <si>
    <t>07:06:00</t>
  </si>
  <si>
    <t>T00403</t>
  </si>
  <si>
    <t>T00404</t>
  </si>
  <si>
    <t>12:21:00</t>
  </si>
  <si>
    <t>T00405</t>
  </si>
  <si>
    <t>14:40:00</t>
  </si>
  <si>
    <t>T00406</t>
  </si>
  <si>
    <t>05:01:00</t>
  </si>
  <si>
    <t>T00407</t>
  </si>
  <si>
    <t>06:55:00</t>
  </si>
  <si>
    <t>T00408</t>
  </si>
  <si>
    <t>04:44:00</t>
  </si>
  <si>
    <t>T00409</t>
  </si>
  <si>
    <t>T00410</t>
  </si>
  <si>
    <t>T00411</t>
  </si>
  <si>
    <t>22:19:00</t>
  </si>
  <si>
    <t>T00412</t>
  </si>
  <si>
    <t>2025-05-05</t>
  </si>
  <si>
    <t>12:51:00</t>
  </si>
  <si>
    <t>T00413</t>
  </si>
  <si>
    <t>2025-01-02</t>
  </si>
  <si>
    <t>11:20:00</t>
  </si>
  <si>
    <t>T00414</t>
  </si>
  <si>
    <t>2025-03-08</t>
  </si>
  <si>
    <t>18:54:00</t>
  </si>
  <si>
    <t>T00415</t>
  </si>
  <si>
    <t>04:30:00</t>
  </si>
  <si>
    <t>T00416</t>
  </si>
  <si>
    <t>T00417</t>
  </si>
  <si>
    <t>03:33:00</t>
  </si>
  <si>
    <t>T00418</t>
  </si>
  <si>
    <t>22:20:00</t>
  </si>
  <si>
    <t>T00419</t>
  </si>
  <si>
    <t>04:40:00</t>
  </si>
  <si>
    <t>T00420</t>
  </si>
  <si>
    <t>07:17:00</t>
  </si>
  <si>
    <t>T00421</t>
  </si>
  <si>
    <t>00:22:00</t>
  </si>
  <si>
    <t>T00422</t>
  </si>
  <si>
    <t>02:53:00</t>
  </si>
  <si>
    <t>T00423</t>
  </si>
  <si>
    <t>00:09:00</t>
  </si>
  <si>
    <t>T00424</t>
  </si>
  <si>
    <t>T00425</t>
  </si>
  <si>
    <t>23:11:00</t>
  </si>
  <si>
    <t>T00426</t>
  </si>
  <si>
    <t>2025-01-19</t>
  </si>
  <si>
    <t>T00427</t>
  </si>
  <si>
    <t>2025-08-30</t>
  </si>
  <si>
    <t>06:17:00</t>
  </si>
  <si>
    <t>T00428</t>
  </si>
  <si>
    <t>21:24:00</t>
  </si>
  <si>
    <t>T00429</t>
  </si>
  <si>
    <t>22:33:00</t>
  </si>
  <si>
    <t>T00430</t>
  </si>
  <si>
    <t>00:59:00</t>
  </si>
  <si>
    <t>T00431</t>
  </si>
  <si>
    <t>14:11:00</t>
  </si>
  <si>
    <t>T00432</t>
  </si>
  <si>
    <t>T00433</t>
  </si>
  <si>
    <t>E122</t>
  </si>
  <si>
    <t>T00434</t>
  </si>
  <si>
    <t>T00435</t>
  </si>
  <si>
    <t>2025-03-01</t>
  </si>
  <si>
    <t>20:46:00</t>
  </si>
  <si>
    <t>T00436</t>
  </si>
  <si>
    <t>T00437</t>
  </si>
  <si>
    <t>2025-07-07</t>
  </si>
  <si>
    <t>01:55:00</t>
  </si>
  <si>
    <t>T00438</t>
  </si>
  <si>
    <t>2025-09-17</t>
  </si>
  <si>
    <t>23:30:00</t>
  </si>
  <si>
    <t>T00439</t>
  </si>
  <si>
    <t>23:48:00</t>
  </si>
  <si>
    <t>T00440</t>
  </si>
  <si>
    <t>17:01:00</t>
  </si>
  <si>
    <t>T00441</t>
  </si>
  <si>
    <t>20:52:00</t>
  </si>
  <si>
    <t>T00442</t>
  </si>
  <si>
    <t>05:27:00</t>
  </si>
  <si>
    <t>T00443</t>
  </si>
  <si>
    <t>T00444</t>
  </si>
  <si>
    <t>2025-09-04</t>
  </si>
  <si>
    <t>T00445</t>
  </si>
  <si>
    <t>T00446</t>
  </si>
  <si>
    <t>T00447</t>
  </si>
  <si>
    <t>2025-04-06</t>
  </si>
  <si>
    <t>05:09:00</t>
  </si>
  <si>
    <t>T00448</t>
  </si>
  <si>
    <t>14:52:00</t>
  </si>
  <si>
    <t>T00449</t>
  </si>
  <si>
    <t>22:17:00</t>
  </si>
  <si>
    <t>T00450</t>
  </si>
  <si>
    <t>23:00:00</t>
  </si>
  <si>
    <t>T00451</t>
  </si>
  <si>
    <t>00:25:00</t>
  </si>
  <si>
    <t>T00452</t>
  </si>
  <si>
    <t>T00453</t>
  </si>
  <si>
    <t>2025-01-13</t>
  </si>
  <si>
    <t>18:21:00</t>
  </si>
  <si>
    <t>T00454</t>
  </si>
  <si>
    <t>T00455</t>
  </si>
  <si>
    <t>2025-02-28</t>
  </si>
  <si>
    <t>15:32:00</t>
  </si>
  <si>
    <t>T00456</t>
  </si>
  <si>
    <t>11:03:00</t>
  </si>
  <si>
    <t>T00457</t>
  </si>
  <si>
    <t>06:46:00</t>
  </si>
  <si>
    <t>T00458</t>
  </si>
  <si>
    <t>T00459</t>
  </si>
  <si>
    <t>T00460</t>
  </si>
  <si>
    <t>11:01:00</t>
  </si>
  <si>
    <t>T00461</t>
  </si>
  <si>
    <t>03:43:00</t>
  </si>
  <si>
    <t>T00462</t>
  </si>
  <si>
    <t>T00463</t>
  </si>
  <si>
    <t>2025-12-03</t>
  </si>
  <si>
    <t>T00464</t>
  </si>
  <si>
    <t>09:12:00</t>
  </si>
  <si>
    <t>T00465</t>
  </si>
  <si>
    <t>2025-05-27</t>
  </si>
  <si>
    <t>13:06:00</t>
  </si>
  <si>
    <t>T00466</t>
  </si>
  <si>
    <t>23:56:00</t>
  </si>
  <si>
    <t>T00467</t>
  </si>
  <si>
    <t>T00468</t>
  </si>
  <si>
    <t>07:13:00</t>
  </si>
  <si>
    <t>T00469</t>
  </si>
  <si>
    <t>21:33:00</t>
  </si>
  <si>
    <t>T00470</t>
  </si>
  <si>
    <t>2025-11-23</t>
  </si>
  <si>
    <t>T00471</t>
  </si>
  <si>
    <t>07:49:00</t>
  </si>
  <si>
    <t>T00472</t>
  </si>
  <si>
    <t>2025-12-11</t>
  </si>
  <si>
    <t>11:52:00</t>
  </si>
  <si>
    <t>T00473</t>
  </si>
  <si>
    <t>T00474</t>
  </si>
  <si>
    <t>00:01:00</t>
  </si>
  <si>
    <t>T00475</t>
  </si>
  <si>
    <t>23:46:00</t>
  </si>
  <si>
    <t>T00476</t>
  </si>
  <si>
    <t>T00477</t>
  </si>
  <si>
    <t>2025-01-17</t>
  </si>
  <si>
    <t>20:30:00</t>
  </si>
  <si>
    <t>T00478</t>
  </si>
  <si>
    <t>2025-09-01</t>
  </si>
  <si>
    <t>22:35:00</t>
  </si>
  <si>
    <t>T00479</t>
  </si>
  <si>
    <t>13:26:00</t>
  </si>
  <si>
    <t>T00480</t>
  </si>
  <si>
    <t>12:30:00</t>
  </si>
  <si>
    <t>T00481</t>
  </si>
  <si>
    <t>T00482</t>
  </si>
  <si>
    <t>T00483</t>
  </si>
  <si>
    <t>2025-01-20</t>
  </si>
  <si>
    <t>08:26:00</t>
  </si>
  <si>
    <t>T00484</t>
  </si>
  <si>
    <t>2025-01-25</t>
  </si>
  <si>
    <t>00:28:00</t>
  </si>
  <si>
    <t>T00485</t>
  </si>
  <si>
    <t>T00486</t>
  </si>
  <si>
    <t>19:35:00</t>
  </si>
  <si>
    <t>T00487</t>
  </si>
  <si>
    <t>T00488</t>
  </si>
  <si>
    <t>15:26:00</t>
  </si>
  <si>
    <t>T00489</t>
  </si>
  <si>
    <t>23:13:00</t>
  </si>
  <si>
    <t>T00490</t>
  </si>
  <si>
    <t>T00491</t>
  </si>
  <si>
    <t>2025-09-25</t>
  </si>
  <si>
    <t>T00492</t>
  </si>
  <si>
    <t>15:12:00</t>
  </si>
  <si>
    <t>T00493</t>
  </si>
  <si>
    <t>2025-01-26</t>
  </si>
  <si>
    <t>16:58:00</t>
  </si>
  <si>
    <t>T00494</t>
  </si>
  <si>
    <t>22:03:00</t>
  </si>
  <si>
    <t>T00495</t>
  </si>
  <si>
    <t>2025-06-28</t>
  </si>
  <si>
    <t>02:04:00</t>
  </si>
  <si>
    <t>T00496</t>
  </si>
  <si>
    <t>T00497</t>
  </si>
  <si>
    <t>21:55:00</t>
  </si>
  <si>
    <t>T00498</t>
  </si>
  <si>
    <t>T00499</t>
  </si>
  <si>
    <t>21:32:00</t>
  </si>
  <si>
    <t>T00500</t>
  </si>
  <si>
    <t>03:08:00</t>
  </si>
  <si>
    <t>T00501</t>
  </si>
  <si>
    <t>17:21:00</t>
  </si>
  <si>
    <t>T00502</t>
  </si>
  <si>
    <t>10:23:00</t>
  </si>
  <si>
    <t>T00503</t>
  </si>
  <si>
    <t>12:23:00</t>
  </si>
  <si>
    <t>T00504</t>
  </si>
  <si>
    <t>13:27:00</t>
  </si>
  <si>
    <t>T00505</t>
  </si>
  <si>
    <t>22:13:00</t>
  </si>
  <si>
    <t>T00506</t>
  </si>
  <si>
    <t>14:03:00</t>
  </si>
  <si>
    <t>T00507</t>
  </si>
  <si>
    <t>T00508</t>
  </si>
  <si>
    <t>14:54:00</t>
  </si>
  <si>
    <t>T00509</t>
  </si>
  <si>
    <t>06:35:00</t>
  </si>
  <si>
    <t>E139</t>
  </si>
  <si>
    <t>T00510</t>
  </si>
  <si>
    <t>10:19:00</t>
  </si>
  <si>
    <t>T00511</t>
  </si>
  <si>
    <t>T00512</t>
  </si>
  <si>
    <t>13:56:00</t>
  </si>
  <si>
    <t>T00513</t>
  </si>
  <si>
    <t>2025-01-10</t>
  </si>
  <si>
    <t>21:48:00</t>
  </si>
  <si>
    <t>T00514</t>
  </si>
  <si>
    <t>17:33:00</t>
  </si>
  <si>
    <t>E167</t>
  </si>
  <si>
    <t>T00515</t>
  </si>
  <si>
    <t>T00516</t>
  </si>
  <si>
    <t>17:18:00</t>
  </si>
  <si>
    <t>T00517</t>
  </si>
  <si>
    <t>14:33:00</t>
  </si>
  <si>
    <t>T00518</t>
  </si>
  <si>
    <t>10:33:00</t>
  </si>
  <si>
    <t>T00519</t>
  </si>
  <si>
    <t>03:28:00</t>
  </si>
  <si>
    <t>T00520</t>
  </si>
  <si>
    <t>2025-03-14</t>
  </si>
  <si>
    <t>05:49:00</t>
  </si>
  <si>
    <t>T00521</t>
  </si>
  <si>
    <t>17:24:00</t>
  </si>
  <si>
    <t>T00522</t>
  </si>
  <si>
    <t>10:20:00</t>
  </si>
  <si>
    <t>T00523</t>
  </si>
  <si>
    <t>T00524</t>
  </si>
  <si>
    <t>T00525</t>
  </si>
  <si>
    <t>06:54:00</t>
  </si>
  <si>
    <t>T00526</t>
  </si>
  <si>
    <t>05:03:00</t>
  </si>
  <si>
    <t>T00527</t>
  </si>
  <si>
    <t>18:59:00</t>
  </si>
  <si>
    <t>T00528</t>
  </si>
  <si>
    <t>T00529</t>
  </si>
  <si>
    <t>04:21:00</t>
  </si>
  <si>
    <t>T00530</t>
  </si>
  <si>
    <t>12:41:00</t>
  </si>
  <si>
    <t>T00531</t>
  </si>
  <si>
    <t>04:52:00</t>
  </si>
  <si>
    <t>T00532</t>
  </si>
  <si>
    <t>10:02:00</t>
  </si>
  <si>
    <t>T00533</t>
  </si>
  <si>
    <t>21:31:00</t>
  </si>
  <si>
    <t>T00534</t>
  </si>
  <si>
    <t>2025-10-13</t>
  </si>
  <si>
    <t>04:01:00</t>
  </si>
  <si>
    <t>T00535</t>
  </si>
  <si>
    <t>15:40:00</t>
  </si>
  <si>
    <t>T00536</t>
  </si>
  <si>
    <t>11:13:00</t>
  </si>
  <si>
    <t>T00537</t>
  </si>
  <si>
    <t>2025-10-04</t>
  </si>
  <si>
    <t>T00538</t>
  </si>
  <si>
    <t>2025-03-03</t>
  </si>
  <si>
    <t>22:41:00</t>
  </si>
  <si>
    <t>T00539</t>
  </si>
  <si>
    <t>04:17:00</t>
  </si>
  <si>
    <t>T00540</t>
  </si>
  <si>
    <t>2025-05-03</t>
  </si>
  <si>
    <t>22:27:00</t>
  </si>
  <si>
    <t>T00541</t>
  </si>
  <si>
    <t>2025-05-07</t>
  </si>
  <si>
    <t>10:25:00</t>
  </si>
  <si>
    <t>T00542</t>
  </si>
  <si>
    <t>2025-08-15</t>
  </si>
  <si>
    <t>15:22:00</t>
  </si>
  <si>
    <t>T00543</t>
  </si>
  <si>
    <t>01:16:00</t>
  </si>
  <si>
    <t>T00544</t>
  </si>
  <si>
    <t>02:19:00</t>
  </si>
  <si>
    <t>T00545</t>
  </si>
  <si>
    <t>06:14:00</t>
  </si>
  <si>
    <t>T00546</t>
  </si>
  <si>
    <t>08:53:00</t>
  </si>
  <si>
    <t>T00547</t>
  </si>
  <si>
    <t>10:43:00</t>
  </si>
  <si>
    <t>T00548</t>
  </si>
  <si>
    <t>12:43:00</t>
  </si>
  <si>
    <t>T00549</t>
  </si>
  <si>
    <t>13:12:00</t>
  </si>
  <si>
    <t>T00550</t>
  </si>
  <si>
    <t>T00551</t>
  </si>
  <si>
    <t>2025-12-10</t>
  </si>
  <si>
    <t>16:23:00</t>
  </si>
  <si>
    <t>T00552</t>
  </si>
  <si>
    <t>20:24:00</t>
  </si>
  <si>
    <t>T00553</t>
  </si>
  <si>
    <t>06:05:00</t>
  </si>
  <si>
    <t>T00554</t>
  </si>
  <si>
    <t>07:11:00</t>
  </si>
  <si>
    <t>T00555</t>
  </si>
  <si>
    <t>2025-08-10</t>
  </si>
  <si>
    <t>23:36:00</t>
  </si>
  <si>
    <t>T00556</t>
  </si>
  <si>
    <t>2025-06-02</t>
  </si>
  <si>
    <t>13:03:00</t>
  </si>
  <si>
    <t>T00557</t>
  </si>
  <si>
    <t>22:07:00</t>
  </si>
  <si>
    <t>T00558</t>
  </si>
  <si>
    <t>2025-10-16</t>
  </si>
  <si>
    <t>T00559</t>
  </si>
  <si>
    <t>T00560</t>
  </si>
  <si>
    <t>2025-12-31</t>
  </si>
  <si>
    <t>06:27:00</t>
  </si>
  <si>
    <t>T00561</t>
  </si>
  <si>
    <t>10:46:00</t>
  </si>
  <si>
    <t>T00562</t>
  </si>
  <si>
    <t>15:29:00</t>
  </si>
  <si>
    <t>T00563</t>
  </si>
  <si>
    <t>T00564</t>
  </si>
  <si>
    <t>09:53:00</t>
  </si>
  <si>
    <t>T00565</t>
  </si>
  <si>
    <t>T00566</t>
  </si>
  <si>
    <t>2025-03-18</t>
  </si>
  <si>
    <t>T00567</t>
  </si>
  <si>
    <t>13:25:00</t>
  </si>
  <si>
    <t>T00568</t>
  </si>
  <si>
    <t>04:26:00</t>
  </si>
  <si>
    <t>T00569</t>
  </si>
  <si>
    <t>21:20:00</t>
  </si>
  <si>
    <t>T00570</t>
  </si>
  <si>
    <t>2025-07-24</t>
  </si>
  <si>
    <t>16:45:00</t>
  </si>
  <si>
    <t>T00571</t>
  </si>
  <si>
    <t>2025-07-21</t>
  </si>
  <si>
    <t>09:39:00</t>
  </si>
  <si>
    <t>T00572</t>
  </si>
  <si>
    <t>15:42:00</t>
  </si>
  <si>
    <t>T00573</t>
  </si>
  <si>
    <t>T00574</t>
  </si>
  <si>
    <t>T00575</t>
  </si>
  <si>
    <t>04:55:00</t>
  </si>
  <si>
    <t>T00576</t>
  </si>
  <si>
    <t>18:41:00</t>
  </si>
  <si>
    <t>T00577</t>
  </si>
  <si>
    <t>12:56:00</t>
  </si>
  <si>
    <t>T00578</t>
  </si>
  <si>
    <t>T00579</t>
  </si>
  <si>
    <t>2025-10-03</t>
  </si>
  <si>
    <t>10:53:00</t>
  </si>
  <si>
    <t>T00580</t>
  </si>
  <si>
    <t>05:11:00</t>
  </si>
  <si>
    <t>T00581</t>
  </si>
  <si>
    <t>T00582</t>
  </si>
  <si>
    <t>2025-09-29</t>
  </si>
  <si>
    <t>T00583</t>
  </si>
  <si>
    <t>07:08:00</t>
  </si>
  <si>
    <t>T00584</t>
  </si>
  <si>
    <t>07:50:00</t>
  </si>
  <si>
    <t>T00585</t>
  </si>
  <si>
    <t>T00586</t>
  </si>
  <si>
    <t>12:11:00</t>
  </si>
  <si>
    <t>T00587</t>
  </si>
  <si>
    <t>09:18:00</t>
  </si>
  <si>
    <t>T00588</t>
  </si>
  <si>
    <t>T00589</t>
  </si>
  <si>
    <t>2025-04-28</t>
  </si>
  <si>
    <t>10:40:00</t>
  </si>
  <si>
    <t>T00590</t>
  </si>
  <si>
    <t>14:38:00</t>
  </si>
  <si>
    <t>T00591</t>
  </si>
  <si>
    <t>T00592</t>
  </si>
  <si>
    <t>11:29:00</t>
  </si>
  <si>
    <t>T00593</t>
  </si>
  <si>
    <t>T00594</t>
  </si>
  <si>
    <t>2025-11-06</t>
  </si>
  <si>
    <t>05:32:00</t>
  </si>
  <si>
    <t>T00595</t>
  </si>
  <si>
    <t>2025-08-26</t>
  </si>
  <si>
    <t>06:56:00</t>
  </si>
  <si>
    <t>T00596</t>
  </si>
  <si>
    <t>T00597</t>
  </si>
  <si>
    <t>14:20:00</t>
  </si>
  <si>
    <t>T00598</t>
  </si>
  <si>
    <t>2025-06-12</t>
  </si>
  <si>
    <t>15:05:00</t>
  </si>
  <si>
    <t>T00599</t>
  </si>
  <si>
    <t>2025-05-08</t>
  </si>
  <si>
    <t>T00600</t>
  </si>
  <si>
    <t>10:26:00</t>
  </si>
  <si>
    <t>T00601</t>
  </si>
  <si>
    <t>T00602</t>
  </si>
  <si>
    <t>09:06:00</t>
  </si>
  <si>
    <t>T00603</t>
  </si>
  <si>
    <t>15:00:00</t>
  </si>
  <si>
    <t>T00604</t>
  </si>
  <si>
    <t>2025-05-16</t>
  </si>
  <si>
    <t>17:27:00</t>
  </si>
  <si>
    <t>T00605</t>
  </si>
  <si>
    <t>03:26:00</t>
  </si>
  <si>
    <t>T00606</t>
  </si>
  <si>
    <t>T00607</t>
  </si>
  <si>
    <t>2025-10-09</t>
  </si>
  <si>
    <t>16:08:00</t>
  </si>
  <si>
    <t>T00608</t>
  </si>
  <si>
    <t>2025-07-05</t>
  </si>
  <si>
    <t>T00609</t>
  </si>
  <si>
    <t>T00610</t>
  </si>
  <si>
    <t>11:12:00</t>
  </si>
  <si>
    <t>T00611</t>
  </si>
  <si>
    <t>T00612</t>
  </si>
  <si>
    <t>09:34:00</t>
  </si>
  <si>
    <t>T00613</t>
  </si>
  <si>
    <t>T00614</t>
  </si>
  <si>
    <t>18:02:00</t>
  </si>
  <si>
    <t>T00615</t>
  </si>
  <si>
    <t>T00616</t>
  </si>
  <si>
    <t>15:44:00</t>
  </si>
  <si>
    <t>T00617</t>
  </si>
  <si>
    <t>02:26:00</t>
  </si>
  <si>
    <t>T00618</t>
  </si>
  <si>
    <t>2025-01-07</t>
  </si>
  <si>
    <t>T00619</t>
  </si>
  <si>
    <t>06:57:00</t>
  </si>
  <si>
    <t>T00620</t>
  </si>
  <si>
    <t>T00621</t>
  </si>
  <si>
    <t>00:02:00</t>
  </si>
  <si>
    <t>T00622</t>
  </si>
  <si>
    <t>2025-05-04</t>
  </si>
  <si>
    <t>21:13:00</t>
  </si>
  <si>
    <t>T00623</t>
  </si>
  <si>
    <t>2025-02-18</t>
  </si>
  <si>
    <t>22:21:00</t>
  </si>
  <si>
    <t>T00624</t>
  </si>
  <si>
    <t>12:02:00</t>
  </si>
  <si>
    <t>T00625</t>
  </si>
  <si>
    <t>T00626</t>
  </si>
  <si>
    <t>15:03:00</t>
  </si>
  <si>
    <t>T00627</t>
  </si>
  <si>
    <t>11:18:00</t>
  </si>
  <si>
    <t>T00628</t>
  </si>
  <si>
    <t>19:06:00</t>
  </si>
  <si>
    <t>T00629</t>
  </si>
  <si>
    <t>T00630</t>
  </si>
  <si>
    <t>T00631</t>
  </si>
  <si>
    <t>T00632</t>
  </si>
  <si>
    <t>T00633</t>
  </si>
  <si>
    <t>2025-09-07</t>
  </si>
  <si>
    <t>09:02:00</t>
  </si>
  <si>
    <t>T00634</t>
  </si>
  <si>
    <t>T00635</t>
  </si>
  <si>
    <t>13:29:00</t>
  </si>
  <si>
    <t>T00636</t>
  </si>
  <si>
    <t>20:32:00</t>
  </si>
  <si>
    <t>T00637</t>
  </si>
  <si>
    <t>21:18:00</t>
  </si>
  <si>
    <t>T00638</t>
  </si>
  <si>
    <t>2025-04-22</t>
  </si>
  <si>
    <t>T00639</t>
  </si>
  <si>
    <t>06:31:00</t>
  </si>
  <si>
    <t>T00640</t>
  </si>
  <si>
    <t>T00641</t>
  </si>
  <si>
    <t>09:48:00</t>
  </si>
  <si>
    <t>T00642</t>
  </si>
  <si>
    <t>01:53:00</t>
  </si>
  <si>
    <t>T00643</t>
  </si>
  <si>
    <t>21:38:00</t>
  </si>
  <si>
    <t>T00644</t>
  </si>
  <si>
    <t>08:27:00</t>
  </si>
  <si>
    <t>T00645</t>
  </si>
  <si>
    <t>17:22:00</t>
  </si>
  <si>
    <t>T00646</t>
  </si>
  <si>
    <t>15:43:00</t>
  </si>
  <si>
    <t>T00647</t>
  </si>
  <si>
    <t>2025-11-04</t>
  </si>
  <si>
    <t>13:37:00</t>
  </si>
  <si>
    <t>T00648</t>
  </si>
  <si>
    <t>T00649</t>
  </si>
  <si>
    <t>17:11:00</t>
  </si>
  <si>
    <t>T00650</t>
  </si>
  <si>
    <t>2025-10-30</t>
  </si>
  <si>
    <t>T00651</t>
  </si>
  <si>
    <t>T00652</t>
  </si>
  <si>
    <t>03:15:00</t>
  </si>
  <si>
    <t>T00653</t>
  </si>
  <si>
    <t>2025-07-31</t>
  </si>
  <si>
    <t>21:03:00</t>
  </si>
  <si>
    <t>T00654</t>
  </si>
  <si>
    <t>T00655</t>
  </si>
  <si>
    <t>T00656</t>
  </si>
  <si>
    <t>10:05:00</t>
  </si>
  <si>
    <t>T00657</t>
  </si>
  <si>
    <t>T00658</t>
  </si>
  <si>
    <t>T00659</t>
  </si>
  <si>
    <t>10:00:00</t>
  </si>
  <si>
    <t>T00660</t>
  </si>
  <si>
    <t>17:55:00</t>
  </si>
  <si>
    <t>T00661</t>
  </si>
  <si>
    <t>17:43:00</t>
  </si>
  <si>
    <t>T00662</t>
  </si>
  <si>
    <t>2025-07-29</t>
  </si>
  <si>
    <t>23:04:00</t>
  </si>
  <si>
    <t>T00663</t>
  </si>
  <si>
    <t>17:59:00</t>
  </si>
  <si>
    <t>T00664</t>
  </si>
  <si>
    <t>12:00:00</t>
  </si>
  <si>
    <t>T00665</t>
  </si>
  <si>
    <t>T00666</t>
  </si>
  <si>
    <t>T00667</t>
  </si>
  <si>
    <t>19:20:00</t>
  </si>
  <si>
    <t>T00668</t>
  </si>
  <si>
    <t>02:21:00</t>
  </si>
  <si>
    <t>T00669</t>
  </si>
  <si>
    <t>T00670</t>
  </si>
  <si>
    <t>T00671</t>
  </si>
  <si>
    <t>04:12:00</t>
  </si>
  <si>
    <t>T00672</t>
  </si>
  <si>
    <t>07:55:00</t>
  </si>
  <si>
    <t>T00673</t>
  </si>
  <si>
    <t>20:01:00</t>
  </si>
  <si>
    <t>T00674</t>
  </si>
  <si>
    <t>23:34:00</t>
  </si>
  <si>
    <t>T00675</t>
  </si>
  <si>
    <t>T00676</t>
  </si>
  <si>
    <t>13:58:00</t>
  </si>
  <si>
    <t>T00677</t>
  </si>
  <si>
    <t>T00678</t>
  </si>
  <si>
    <t>T00679</t>
  </si>
  <si>
    <t>09:17:00</t>
  </si>
  <si>
    <t>T00680</t>
  </si>
  <si>
    <t>15:20:00</t>
  </si>
  <si>
    <t>T00681</t>
  </si>
  <si>
    <t>T00682</t>
  </si>
  <si>
    <t>2025-12-17</t>
  </si>
  <si>
    <t>16:28:00</t>
  </si>
  <si>
    <t>T00683</t>
  </si>
  <si>
    <t>2025-09-03</t>
  </si>
  <si>
    <t>10:07:00</t>
  </si>
  <si>
    <t>T00684</t>
  </si>
  <si>
    <t>23:49:00</t>
  </si>
  <si>
    <t>T00685</t>
  </si>
  <si>
    <t>17:40:00</t>
  </si>
  <si>
    <t>T00686</t>
  </si>
  <si>
    <t>T00687</t>
  </si>
  <si>
    <t>T00688</t>
  </si>
  <si>
    <t>10:27:00</t>
  </si>
  <si>
    <t>T00689</t>
  </si>
  <si>
    <t>11:19:00</t>
  </si>
  <si>
    <t>T00690</t>
  </si>
  <si>
    <t>T00691</t>
  </si>
  <si>
    <t>T00692</t>
  </si>
  <si>
    <t>19:10:00</t>
  </si>
  <si>
    <t>T00693</t>
  </si>
  <si>
    <t>T00694</t>
  </si>
  <si>
    <t>2025-09-11</t>
  </si>
  <si>
    <t>T00695</t>
  </si>
  <si>
    <t>17:54:00</t>
  </si>
  <si>
    <t>T00696</t>
  </si>
  <si>
    <t>22:00:00</t>
  </si>
  <si>
    <t>T00697</t>
  </si>
  <si>
    <t>17:35:00</t>
  </si>
  <si>
    <t>T00698</t>
  </si>
  <si>
    <t>23:53:00</t>
  </si>
  <si>
    <t>T00699</t>
  </si>
  <si>
    <t>14:35:00</t>
  </si>
  <si>
    <t>T00700</t>
  </si>
  <si>
    <t>2025-02-13</t>
  </si>
  <si>
    <t>14:29:00</t>
  </si>
  <si>
    <t>T00701</t>
  </si>
  <si>
    <t>02:07:00</t>
  </si>
  <si>
    <t>T00702</t>
  </si>
  <si>
    <t>08:38:00</t>
  </si>
  <si>
    <t>T00703</t>
  </si>
  <si>
    <t>T00704</t>
  </si>
  <si>
    <t>2025-12-29</t>
  </si>
  <si>
    <t>13:43:00</t>
  </si>
  <si>
    <t>T00705</t>
  </si>
  <si>
    <t>T00706</t>
  </si>
  <si>
    <t>22:01:00</t>
  </si>
  <si>
    <t>T00707</t>
  </si>
  <si>
    <t>01:24:00</t>
  </si>
  <si>
    <t>T00708</t>
  </si>
  <si>
    <t>2025-10-19</t>
  </si>
  <si>
    <t>T00709</t>
  </si>
  <si>
    <t>13:21:00</t>
  </si>
  <si>
    <t>T00710</t>
  </si>
  <si>
    <t>12:32:00</t>
  </si>
  <si>
    <t>T00711</t>
  </si>
  <si>
    <t>21:15:00</t>
  </si>
  <si>
    <t>T00712</t>
  </si>
  <si>
    <t>2025-08-31</t>
  </si>
  <si>
    <t>T00713</t>
  </si>
  <si>
    <t>22:44:00</t>
  </si>
  <si>
    <t>T00714</t>
  </si>
  <si>
    <t>20:26:00</t>
  </si>
  <si>
    <t>T00715</t>
  </si>
  <si>
    <t>T00716</t>
  </si>
  <si>
    <t>T00717</t>
  </si>
  <si>
    <t>00:15:00</t>
  </si>
  <si>
    <t>T00718</t>
  </si>
  <si>
    <t>T00719</t>
  </si>
  <si>
    <t>T00720</t>
  </si>
  <si>
    <t>11:35:00</t>
  </si>
  <si>
    <t>T00721</t>
  </si>
  <si>
    <t>07:45:00</t>
  </si>
  <si>
    <t>T00722</t>
  </si>
  <si>
    <t>T00723</t>
  </si>
  <si>
    <t>18:56:00</t>
  </si>
  <si>
    <t>T00724</t>
  </si>
  <si>
    <t>00:56:00</t>
  </si>
  <si>
    <t>T00725</t>
  </si>
  <si>
    <t>T00726</t>
  </si>
  <si>
    <t>T00727</t>
  </si>
  <si>
    <t>T00728</t>
  </si>
  <si>
    <t>T00729</t>
  </si>
  <si>
    <t>T00730</t>
  </si>
  <si>
    <t>05:43:00</t>
  </si>
  <si>
    <t>T00731</t>
  </si>
  <si>
    <t>14:48:00</t>
  </si>
  <si>
    <t>T00732</t>
  </si>
  <si>
    <t>2025-06-16</t>
  </si>
  <si>
    <t>T00733</t>
  </si>
  <si>
    <t>T00734</t>
  </si>
  <si>
    <t>2025-09-19</t>
  </si>
  <si>
    <t>00:45:00</t>
  </si>
  <si>
    <t>T00735</t>
  </si>
  <si>
    <t>20:16:00</t>
  </si>
  <si>
    <t>T00736</t>
  </si>
  <si>
    <t>T00737</t>
  </si>
  <si>
    <t>01:20:00</t>
  </si>
  <si>
    <t>T00738</t>
  </si>
  <si>
    <t>17:52:00</t>
  </si>
  <si>
    <t>T00739</t>
  </si>
  <si>
    <t>T00740</t>
  </si>
  <si>
    <t>16:06:00</t>
  </si>
  <si>
    <t>T00741</t>
  </si>
  <si>
    <t>T00742</t>
  </si>
  <si>
    <t>16:46:00</t>
  </si>
  <si>
    <t>T00743</t>
  </si>
  <si>
    <t>20:08:00</t>
  </si>
  <si>
    <t>T00744</t>
  </si>
  <si>
    <t>00:46:00</t>
  </si>
  <si>
    <t>T00745</t>
  </si>
  <si>
    <t>T00746</t>
  </si>
  <si>
    <t>00:04:00</t>
  </si>
  <si>
    <t>T00747</t>
  </si>
  <si>
    <t>2025-03-11</t>
  </si>
  <si>
    <t>09:31:00</t>
  </si>
  <si>
    <t>T00748</t>
  </si>
  <si>
    <t>21:49:00</t>
  </si>
  <si>
    <t>T00749</t>
  </si>
  <si>
    <t>T00750</t>
  </si>
  <si>
    <t>T00751</t>
  </si>
  <si>
    <t>15:13:00</t>
  </si>
  <si>
    <t>T00752</t>
  </si>
  <si>
    <t>T00753</t>
  </si>
  <si>
    <t>2025-09-18</t>
  </si>
  <si>
    <t>06:07:00</t>
  </si>
  <si>
    <t>T00754</t>
  </si>
  <si>
    <t>T00755</t>
  </si>
  <si>
    <t>T00756</t>
  </si>
  <si>
    <t>T00757</t>
  </si>
  <si>
    <t>T00758</t>
  </si>
  <si>
    <t>18:45:00</t>
  </si>
  <si>
    <t>T00759</t>
  </si>
  <si>
    <t>T00760</t>
  </si>
  <si>
    <t>20:10:00</t>
  </si>
  <si>
    <t>T00761</t>
  </si>
  <si>
    <t>T00762</t>
  </si>
  <si>
    <t>07:28:00</t>
  </si>
  <si>
    <t>T00763</t>
  </si>
  <si>
    <t>11:51:00</t>
  </si>
  <si>
    <t>T00764</t>
  </si>
  <si>
    <t>2025-03-10</t>
  </si>
  <si>
    <t>T00765</t>
  </si>
  <si>
    <t>22:58:00</t>
  </si>
  <si>
    <t>T00766</t>
  </si>
  <si>
    <t>T00767</t>
  </si>
  <si>
    <t>09:36:00</t>
  </si>
  <si>
    <t>T00768</t>
  </si>
  <si>
    <t>2025-08-19</t>
  </si>
  <si>
    <t>T00769</t>
  </si>
  <si>
    <t>05:37:00</t>
  </si>
  <si>
    <t>T00770</t>
  </si>
  <si>
    <t>T00771</t>
  </si>
  <si>
    <t>21:19:00</t>
  </si>
  <si>
    <t>T00772</t>
  </si>
  <si>
    <t>T00773</t>
  </si>
  <si>
    <t>T00774</t>
  </si>
  <si>
    <t>T00775</t>
  </si>
  <si>
    <t>T00776</t>
  </si>
  <si>
    <t>T00777</t>
  </si>
  <si>
    <t>20:41:00</t>
  </si>
  <si>
    <t>T00778</t>
  </si>
  <si>
    <t>23:47:00</t>
  </si>
  <si>
    <t>T00779</t>
  </si>
  <si>
    <t>T00780</t>
  </si>
  <si>
    <t>T00781</t>
  </si>
  <si>
    <t>01:58:00</t>
  </si>
  <si>
    <t>T00782</t>
  </si>
  <si>
    <t>2025-10-02</t>
  </si>
  <si>
    <t>T00783</t>
  </si>
  <si>
    <t>14:15:00</t>
  </si>
  <si>
    <t>T00784</t>
  </si>
  <si>
    <t>03:23:00</t>
  </si>
  <si>
    <t>T00785</t>
  </si>
  <si>
    <t>2025-08-21</t>
  </si>
  <si>
    <t>21:59:00</t>
  </si>
  <si>
    <t>T00786</t>
  </si>
  <si>
    <t>T00787</t>
  </si>
  <si>
    <t>09:55:00</t>
  </si>
  <si>
    <t>T00788</t>
  </si>
  <si>
    <t>T00789</t>
  </si>
  <si>
    <t>08:11:00</t>
  </si>
  <si>
    <t>T00790</t>
  </si>
  <si>
    <t>02:43:00</t>
  </si>
  <si>
    <t>T00791</t>
  </si>
  <si>
    <t>T00792</t>
  </si>
  <si>
    <t>T00793</t>
  </si>
  <si>
    <t>T00794</t>
  </si>
  <si>
    <t>T00795</t>
  </si>
  <si>
    <t>T00796</t>
  </si>
  <si>
    <t>2025-05-30</t>
  </si>
  <si>
    <t>07:41:00</t>
  </si>
  <si>
    <t>T00797</t>
  </si>
  <si>
    <t>08:35:00</t>
  </si>
  <si>
    <t>T00798</t>
  </si>
  <si>
    <t>18:36:00</t>
  </si>
  <si>
    <t>T00799</t>
  </si>
  <si>
    <t>T00800</t>
  </si>
  <si>
    <t>00:36:00</t>
  </si>
  <si>
    <t>T00801</t>
  </si>
  <si>
    <t>16:43:00</t>
  </si>
  <si>
    <t>T00802</t>
  </si>
  <si>
    <t>T00803</t>
  </si>
  <si>
    <t>08:00:00</t>
  </si>
  <si>
    <t>T00804</t>
  </si>
  <si>
    <t>08:57:00</t>
  </si>
  <si>
    <t>T00805</t>
  </si>
  <si>
    <t>19:36:00</t>
  </si>
  <si>
    <t>T00806</t>
  </si>
  <si>
    <t>02:48:00</t>
  </si>
  <si>
    <t>T00807</t>
  </si>
  <si>
    <t>17:50:00</t>
  </si>
  <si>
    <t>T00808</t>
  </si>
  <si>
    <t>T00809</t>
  </si>
  <si>
    <t>T00810</t>
  </si>
  <si>
    <t>23:02:00</t>
  </si>
  <si>
    <t>T00811</t>
  </si>
  <si>
    <t>T00812</t>
  </si>
  <si>
    <t>T00813</t>
  </si>
  <si>
    <t>23:27:00</t>
  </si>
  <si>
    <t>T00814</t>
  </si>
  <si>
    <t>2025-05-12</t>
  </si>
  <si>
    <t>17:32:00</t>
  </si>
  <si>
    <t>T00815</t>
  </si>
  <si>
    <t>T00816</t>
  </si>
  <si>
    <t>T00817</t>
  </si>
  <si>
    <t>T00818</t>
  </si>
  <si>
    <t>06:23:00</t>
  </si>
  <si>
    <t>T00819</t>
  </si>
  <si>
    <t>T00820</t>
  </si>
  <si>
    <t>12:22:00</t>
  </si>
  <si>
    <t>T00821</t>
  </si>
  <si>
    <t>06:53:00</t>
  </si>
  <si>
    <t>T00822</t>
  </si>
  <si>
    <t>T00823</t>
  </si>
  <si>
    <t>01:19:00</t>
  </si>
  <si>
    <t>T00824</t>
  </si>
  <si>
    <t>2025-07-04</t>
  </si>
  <si>
    <t>21:28:00</t>
  </si>
  <si>
    <t>T00825</t>
  </si>
  <si>
    <t>2025-11-02</t>
  </si>
  <si>
    <t>19:04:00</t>
  </si>
  <si>
    <t>T00826</t>
  </si>
  <si>
    <t>T00827</t>
  </si>
  <si>
    <t>10:24:00</t>
  </si>
  <si>
    <t>T00828</t>
  </si>
  <si>
    <t>16:47:00</t>
  </si>
  <si>
    <t>T00829</t>
  </si>
  <si>
    <t>2025-04-02</t>
  </si>
  <si>
    <t>T00830</t>
  </si>
  <si>
    <t>T00831</t>
  </si>
  <si>
    <t>04:57:00</t>
  </si>
  <si>
    <t>T00832</t>
  </si>
  <si>
    <t>09:38:00</t>
  </si>
  <si>
    <t>T00833</t>
  </si>
  <si>
    <t>01:17:00</t>
  </si>
  <si>
    <t>T00834</t>
  </si>
  <si>
    <t>06:59:00</t>
  </si>
  <si>
    <t>T00835</t>
  </si>
  <si>
    <t>18:27:00</t>
  </si>
  <si>
    <t>T00836</t>
  </si>
  <si>
    <t>T00837</t>
  </si>
  <si>
    <t>2025-04-07</t>
  </si>
  <si>
    <t>02:17:00</t>
  </si>
  <si>
    <t>T00838</t>
  </si>
  <si>
    <t>T00839</t>
  </si>
  <si>
    <t>08:34:00</t>
  </si>
  <si>
    <t>T00840</t>
  </si>
  <si>
    <t>09:37:00</t>
  </si>
  <si>
    <t>T00841</t>
  </si>
  <si>
    <t>20:49:00</t>
  </si>
  <si>
    <t>T00842</t>
  </si>
  <si>
    <t>12:03:00</t>
  </si>
  <si>
    <t>T00843</t>
  </si>
  <si>
    <t>09:13:00</t>
  </si>
  <si>
    <t>T00844</t>
  </si>
  <si>
    <t>2025-05-06</t>
  </si>
  <si>
    <t>T00845</t>
  </si>
  <si>
    <t>T00846</t>
  </si>
  <si>
    <t>T00847</t>
  </si>
  <si>
    <t>16:52:00</t>
  </si>
  <si>
    <t>T00848</t>
  </si>
  <si>
    <t>04:06:00</t>
  </si>
  <si>
    <t>T00849</t>
  </si>
  <si>
    <t>T00850</t>
  </si>
  <si>
    <t>T00851</t>
  </si>
  <si>
    <t>13:59:00</t>
  </si>
  <si>
    <t>T00852</t>
  </si>
  <si>
    <t>16:39:00</t>
  </si>
  <si>
    <t>T00853</t>
  </si>
  <si>
    <t>T00854</t>
  </si>
  <si>
    <t>04:43:00</t>
  </si>
  <si>
    <t>T00855</t>
  </si>
  <si>
    <t>21:57:00</t>
  </si>
  <si>
    <t>T00856</t>
  </si>
  <si>
    <t>2025-10-27</t>
  </si>
  <si>
    <t>T00857</t>
  </si>
  <si>
    <t>T00858</t>
  </si>
  <si>
    <t>16:22:00</t>
  </si>
  <si>
    <t>T00859</t>
  </si>
  <si>
    <t>2025-03-06</t>
  </si>
  <si>
    <t>06:30:00</t>
  </si>
  <si>
    <t>T00860</t>
  </si>
  <si>
    <t>23:06:00</t>
  </si>
  <si>
    <t>T00861</t>
  </si>
  <si>
    <t>T00862</t>
  </si>
  <si>
    <t>17:16:00</t>
  </si>
  <si>
    <t>T00863</t>
  </si>
  <si>
    <t>T00864</t>
  </si>
  <si>
    <t>T00865</t>
  </si>
  <si>
    <t>09:03:00</t>
  </si>
  <si>
    <t>T00866</t>
  </si>
  <si>
    <t>T00867</t>
  </si>
  <si>
    <t>16:33:00</t>
  </si>
  <si>
    <t>T00868</t>
  </si>
  <si>
    <t>19:49:00</t>
  </si>
  <si>
    <t>T00869</t>
  </si>
  <si>
    <t>04:45:00</t>
  </si>
  <si>
    <t>T00870</t>
  </si>
  <si>
    <t>11:47:00</t>
  </si>
  <si>
    <t>T00871</t>
  </si>
  <si>
    <t>T00872</t>
  </si>
  <si>
    <t>T00873</t>
  </si>
  <si>
    <t>08:58:00</t>
  </si>
  <si>
    <t>T00874</t>
  </si>
  <si>
    <t>19:00:00</t>
  </si>
  <si>
    <t>T00875</t>
  </si>
  <si>
    <t>17:08:00</t>
  </si>
  <si>
    <t>T00876</t>
  </si>
  <si>
    <t>06:58:00</t>
  </si>
  <si>
    <t>T00877</t>
  </si>
  <si>
    <t>17:26:00</t>
  </si>
  <si>
    <t>T00878</t>
  </si>
  <si>
    <t>03:21:00</t>
  </si>
  <si>
    <t>T00879</t>
  </si>
  <si>
    <t>2025-12-09</t>
  </si>
  <si>
    <t>T00880</t>
  </si>
  <si>
    <t>2025-10-21</t>
  </si>
  <si>
    <t>T00881</t>
  </si>
  <si>
    <t>T00882</t>
  </si>
  <si>
    <t>T00883</t>
  </si>
  <si>
    <t>T00884</t>
  </si>
  <si>
    <t>21:44:00</t>
  </si>
  <si>
    <t>T00885</t>
  </si>
  <si>
    <t>00:39:00</t>
  </si>
  <si>
    <t>T00886</t>
  </si>
  <si>
    <t>T00887</t>
  </si>
  <si>
    <t>15:36:00</t>
  </si>
  <si>
    <t>T00888</t>
  </si>
  <si>
    <t>T00889</t>
  </si>
  <si>
    <t>14:44:00</t>
  </si>
  <si>
    <t>T00890</t>
  </si>
  <si>
    <t>02:14:00</t>
  </si>
  <si>
    <t>T00891</t>
  </si>
  <si>
    <t>01:15:00</t>
  </si>
  <si>
    <t>T00892</t>
  </si>
  <si>
    <t>15:31:00</t>
  </si>
  <si>
    <t>T00893</t>
  </si>
  <si>
    <t>08:22:00</t>
  </si>
  <si>
    <t>T00894</t>
  </si>
  <si>
    <t>20:15:00</t>
  </si>
  <si>
    <t>T00895</t>
  </si>
  <si>
    <t>12:46:00</t>
  </si>
  <si>
    <t>T00896</t>
  </si>
  <si>
    <t>T00897</t>
  </si>
  <si>
    <t>T00898</t>
  </si>
  <si>
    <t>2025-08-25</t>
  </si>
  <si>
    <t>T00899</t>
  </si>
  <si>
    <t>T00900</t>
  </si>
  <si>
    <t>05:00:00</t>
  </si>
  <si>
    <t>T00901</t>
  </si>
  <si>
    <t>03:29:00</t>
  </si>
  <si>
    <t>T00902</t>
  </si>
  <si>
    <t>T00903</t>
  </si>
  <si>
    <t>07:48:00</t>
  </si>
  <si>
    <t>T00904</t>
  </si>
  <si>
    <t>01:13:00</t>
  </si>
  <si>
    <t>T00905</t>
  </si>
  <si>
    <t>04:02:00</t>
  </si>
  <si>
    <t>T00906</t>
  </si>
  <si>
    <t>2025-02-23</t>
  </si>
  <si>
    <t>T00907</t>
  </si>
  <si>
    <t>T00908</t>
  </si>
  <si>
    <t>2025-06-17</t>
  </si>
  <si>
    <t>05:57:00</t>
  </si>
  <si>
    <t>T00909</t>
  </si>
  <si>
    <t>T00910</t>
  </si>
  <si>
    <t>15:21:00</t>
  </si>
  <si>
    <t>T00911</t>
  </si>
  <si>
    <t>19:18:00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</si>
  <si>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</si>
  <si>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</si>
  <si>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</si>
  <si>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</si>
  <si>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</si>
  <si>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</si>
  <si>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</si>
  <si>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</si>
  <si>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</si>
  <si>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07:57:00</t>
  </si>
  <si>
    <t>T00921</t>
  </si>
  <si>
    <t>05:05:00</t>
  </si>
  <si>
    <t>T00922</t>
  </si>
  <si>
    <t>2025-07-03</t>
  </si>
  <si>
    <t>T00923</t>
  </si>
  <si>
    <t>10:28:00</t>
  </si>
  <si>
    <t>T00924</t>
  </si>
  <si>
    <t>08:05:00</t>
  </si>
  <si>
    <t>T00925</t>
  </si>
  <si>
    <t>2025-02-12</t>
  </si>
  <si>
    <t>22:06:00</t>
  </si>
  <si>
    <t>T00926</t>
  </si>
  <si>
    <t>T00927</t>
  </si>
  <si>
    <t>T00928</t>
  </si>
  <si>
    <t>T00929</t>
  </si>
  <si>
    <t>14:04:00</t>
  </si>
  <si>
    <t>T00930</t>
  </si>
  <si>
    <t>22:34:00</t>
  </si>
  <si>
    <t>T00931</t>
  </si>
  <si>
    <t>T00932</t>
  </si>
  <si>
    <t>T00933</t>
  </si>
  <si>
    <t>T00934</t>
  </si>
  <si>
    <t>18:03:00</t>
  </si>
  <si>
    <t>T00935</t>
  </si>
  <si>
    <t>03:53:00</t>
  </si>
  <si>
    <t>T00936</t>
  </si>
  <si>
    <t>T00937</t>
  </si>
  <si>
    <t>T00938</t>
  </si>
  <si>
    <t>T00939</t>
  </si>
  <si>
    <t>11:16:00</t>
  </si>
  <si>
    <t>T00940</t>
  </si>
  <si>
    <t>2025-10-01</t>
  </si>
  <si>
    <t>18:19:00</t>
  </si>
  <si>
    <t>T00941</t>
  </si>
  <si>
    <t>T00942</t>
  </si>
  <si>
    <t>T00943</t>
  </si>
  <si>
    <t>12:31:00</t>
  </si>
  <si>
    <t>T00944</t>
  </si>
  <si>
    <t>09:43:00</t>
  </si>
  <si>
    <t>T00945</t>
  </si>
  <si>
    <t>06:32:00</t>
  </si>
  <si>
    <t>T00946</t>
  </si>
  <si>
    <t>11:43:00</t>
  </si>
  <si>
    <t>T00947</t>
  </si>
  <si>
    <t>04:23:00</t>
  </si>
  <si>
    <t>T00948</t>
  </si>
  <si>
    <t>T00949</t>
  </si>
  <si>
    <t>19:47:00</t>
  </si>
  <si>
    <t>T00950</t>
  </si>
  <si>
    <t>09:32:00</t>
  </si>
  <si>
    <t>T00951</t>
  </si>
  <si>
    <t>T00952</t>
  </si>
  <si>
    <t>16:13:00</t>
  </si>
  <si>
    <t>T00953</t>
  </si>
  <si>
    <t>15:39:00</t>
  </si>
  <si>
    <t>T00954</t>
  </si>
  <si>
    <t>T00955</t>
  </si>
  <si>
    <t>14:23:00</t>
  </si>
  <si>
    <t>T00956</t>
  </si>
  <si>
    <t>2025-02-21</t>
  </si>
  <si>
    <t>03:34:00</t>
  </si>
  <si>
    <t>T00957</t>
  </si>
  <si>
    <t>T00958</t>
  </si>
  <si>
    <t>T00959</t>
  </si>
  <si>
    <t>05:16:00</t>
  </si>
  <si>
    <t>T00960</t>
  </si>
  <si>
    <t>16:31:00</t>
  </si>
  <si>
    <t>T00961</t>
  </si>
  <si>
    <t>T00962</t>
  </si>
  <si>
    <t>12:42:00</t>
  </si>
  <si>
    <t>T00963</t>
  </si>
  <si>
    <t>07:36:00</t>
  </si>
  <si>
    <t>T00964</t>
  </si>
  <si>
    <t>T00965</t>
  </si>
  <si>
    <t>03:27:00</t>
  </si>
  <si>
    <t>T00966</t>
  </si>
  <si>
    <t>03:39:00</t>
  </si>
  <si>
    <t>T00967</t>
  </si>
  <si>
    <t>T00968</t>
  </si>
  <si>
    <t>T00969</t>
  </si>
  <si>
    <t>T00970</t>
  </si>
  <si>
    <t>T00971</t>
  </si>
  <si>
    <t>13:31:00</t>
  </si>
  <si>
    <t>T00972</t>
  </si>
  <si>
    <t>T00973</t>
  </si>
  <si>
    <t>2025-09-27</t>
  </si>
  <si>
    <t>22:54:00</t>
  </si>
  <si>
    <t>T00974</t>
  </si>
  <si>
    <t>23:17:00</t>
  </si>
  <si>
    <t>T00975</t>
  </si>
  <si>
    <t>09:07:00</t>
  </si>
  <si>
    <t>T00976</t>
  </si>
  <si>
    <t>2025-02-26</t>
  </si>
  <si>
    <t>T00977</t>
  </si>
  <si>
    <t>T00978</t>
  </si>
  <si>
    <t>23:58:00</t>
  </si>
  <si>
    <t>T00979</t>
  </si>
  <si>
    <t>20:50:00</t>
  </si>
  <si>
    <t>T00980</t>
  </si>
  <si>
    <t>03:56:00</t>
  </si>
  <si>
    <t>T00981</t>
  </si>
  <si>
    <t>15:53:00</t>
  </si>
  <si>
    <t>T00982</t>
  </si>
  <si>
    <t>07:33:00</t>
  </si>
  <si>
    <t>T00983</t>
  </si>
  <si>
    <t>T00984</t>
  </si>
  <si>
    <t>21:29:00</t>
  </si>
  <si>
    <t>T00985</t>
  </si>
  <si>
    <t>T00986</t>
  </si>
  <si>
    <t>06:51:00</t>
  </si>
  <si>
    <t>T00987</t>
  </si>
  <si>
    <t>13:10:00</t>
  </si>
  <si>
    <t>T00988</t>
  </si>
  <si>
    <t>23:26:00</t>
  </si>
  <si>
    <t>T00989</t>
  </si>
  <si>
    <t>05:47:00</t>
  </si>
  <si>
    <t>T00990</t>
  </si>
  <si>
    <t>T00991</t>
  </si>
  <si>
    <t>2025-12-12</t>
  </si>
  <si>
    <t>03:01:00</t>
  </si>
  <si>
    <t>T00992</t>
  </si>
  <si>
    <t>T00993</t>
  </si>
  <si>
    <t>19:19:00</t>
  </si>
  <si>
    <t>T00994</t>
  </si>
  <si>
    <t>23:41:00</t>
  </si>
  <si>
    <t>T00995</t>
  </si>
  <si>
    <t>2025-01-04</t>
  </si>
  <si>
    <t>T00996</t>
  </si>
  <si>
    <t>22:56:00</t>
  </si>
  <si>
    <t>T00997</t>
  </si>
  <si>
    <t>T00998</t>
  </si>
  <si>
    <t>23:45:00</t>
  </si>
  <si>
    <t>T00999</t>
  </si>
  <si>
    <t>T01000</t>
  </si>
  <si>
    <t>12:06:00</t>
  </si>
  <si>
    <r>
      <rPr>
        <sz val="11"/>
        <color theme="1"/>
        <rFont val="Arial"/>
        <charset val="134"/>
        <scheme val="minor"/>
      </rPr>
      <t xml:space="preserve">                                                                                                           </t>
    </r>
    <r>
      <rPr>
        <sz val="16"/>
        <color theme="1"/>
        <rFont val="Arial"/>
        <charset val="134"/>
        <scheme val="minor"/>
      </rPr>
      <t xml:space="preserve">    </t>
    </r>
    <r>
      <rPr>
        <sz val="18"/>
        <color theme="1"/>
        <rFont val="Arial"/>
        <charset val="134"/>
        <scheme val="minor"/>
      </rPr>
      <t xml:space="preserve"> Pivot Table for Coffe Shop </t>
    </r>
  </si>
  <si>
    <t xml:space="preserve">Total sales by stored location </t>
  </si>
  <si>
    <t>Payment method analysis</t>
  </si>
  <si>
    <t>Top Selling Products</t>
  </si>
  <si>
    <t>Sum of sales</t>
  </si>
  <si>
    <t>Count of Transaction</t>
  </si>
  <si>
    <t>Sum of Quantity_Sold</t>
  </si>
  <si>
    <t>Grand Total</t>
  </si>
  <si>
    <t>Total profit by product catogory</t>
  </si>
  <si>
    <t>Monthly Sales Report</t>
  </si>
  <si>
    <t>Sum of Profit</t>
  </si>
  <si>
    <t>Sum of Sales_Amount</t>
  </si>
  <si>
    <r>
      <rPr>
        <sz val="11"/>
        <color theme="1"/>
        <rFont val="Arial"/>
        <charset val="134"/>
        <scheme val="minor"/>
      </rPr>
      <t xml:space="preserve">                                                                                                                                          </t>
    </r>
    <r>
      <rPr>
        <sz val="18"/>
        <color theme="1"/>
        <rFont val="Arial"/>
        <charset val="134"/>
        <scheme val="minor"/>
      </rPr>
      <t xml:space="preserve">   KPI Values </t>
    </r>
  </si>
  <si>
    <t xml:space="preserve">Find  the Total sales </t>
  </si>
  <si>
    <t xml:space="preserve">Find the total profit </t>
  </si>
  <si>
    <t xml:space="preserve">  Total Transactions</t>
  </si>
  <si>
    <t>sum of Quantity sold</t>
  </si>
  <si>
    <t>COFFE SHOP SALES DASHBOARD</t>
  </si>
  <si>
    <t xml:space="preserve">        Total sales for coffe shop</t>
  </si>
  <si>
    <t xml:space="preserve"> Total profit for coffe shop</t>
  </si>
  <si>
    <t xml:space="preserve">                  Payment method analysys</t>
  </si>
  <si>
    <t xml:space="preserve">                         Sum of Quantity sold</t>
  </si>
  <si>
    <t xml:space="preserve">     Coulumn chart sales by stored location</t>
  </si>
  <si>
    <t>Profit by product catogory</t>
  </si>
  <si>
    <t>Monthly sales trend line chart</t>
  </si>
  <si>
    <t>Payment Method Distribution</t>
  </si>
  <si>
    <t>Total Sales stored by location</t>
  </si>
  <si>
    <r>
      <rPr>
        <sz val="11"/>
        <color theme="1"/>
        <rFont val="Arial"/>
        <charset val="134"/>
        <scheme val="minor"/>
      </rPr>
      <t xml:space="preserve">                                                                                                                                                                </t>
    </r>
    <r>
      <rPr>
        <b/>
        <sz val="14"/>
        <color theme="1"/>
        <rFont val="Arial"/>
        <charset val="134"/>
        <scheme val="minor"/>
      </rPr>
      <t>Slicers To connect values from tables</t>
    </r>
  </si>
  <si>
    <t>Total sales by stored location</t>
  </si>
  <si>
    <t>Payment Method analysys</t>
  </si>
  <si>
    <t>Top selling products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</si>
</sst>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[$₹-4009]\ * #,##0.00_ ;_ [$₹-4009]\ * \-#,##0.00_ ;_ [$₹-4009]\ * &quot;-&quot;??_ ;_ @_ "/>
  </numFmts>
  <fonts count="29">
    <font>
      <sz val="11"/>
      <color theme="1"/>
      <name val="Arial"/>
      <charset val="134"/>
      <scheme val="minor"/>
    </font>
    <font>
      <sz val="18"/>
      <color theme="1"/>
      <name val="Arial"/>
      <charset val="134"/>
      <scheme val="minor"/>
    </font>
    <font>
      <b/>
      <sz val="14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b/>
      <sz val="11"/>
      <color theme="1"/>
      <name val="Arial"/>
      <charset val="134"/>
      <scheme val="minor"/>
    </font>
    <font>
      <b/>
      <sz val="16"/>
      <color theme="1"/>
      <name val="Arial"/>
      <charset val="134"/>
      <scheme val="minor"/>
    </font>
    <font>
      <sz val="16"/>
      <color theme="1"/>
      <name val="Arial"/>
      <charset val="134"/>
      <scheme val="minor"/>
    </font>
    <font>
      <sz val="14"/>
      <color theme="1"/>
      <name val="Arial"/>
      <charset val="134"/>
      <scheme val="minor"/>
    </font>
    <font>
      <b/>
      <sz val="1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8" borderId="17" applyNumberFormat="0" applyAlignment="0" applyProtection="0">
      <alignment vertical="center"/>
    </xf>
    <xf numFmtId="0" fontId="19" fillId="19" borderId="18" applyNumberFormat="0" applyAlignment="0" applyProtection="0">
      <alignment vertical="center"/>
    </xf>
    <xf numFmtId="0" fontId="20" fillId="19" borderId="17" applyNumberFormat="0" applyAlignment="0" applyProtection="0">
      <alignment vertical="center"/>
    </xf>
    <xf numFmtId="0" fontId="21" fillId="20" borderId="19" applyNumberFormat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</cellStyleXfs>
  <cellXfs count="59"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horizontal="center"/>
    </xf>
    <xf numFmtId="0" fontId="0" fillId="3" borderId="0" xfId="0" applyFill="1" applyAlignment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2" fontId="3" fillId="5" borderId="4" xfId="0" applyNumberFormat="1" applyFont="1" applyFill="1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5" borderId="6" xfId="0" applyFill="1" applyBorder="1"/>
    <xf numFmtId="0" fontId="0" fillId="5" borderId="4" xfId="0" applyFill="1" applyBorder="1"/>
    <xf numFmtId="0" fontId="3" fillId="5" borderId="5" xfId="0" applyFont="1" applyFill="1" applyBorder="1"/>
    <xf numFmtId="2" fontId="3" fillId="5" borderId="5" xfId="0" applyNumberFormat="1" applyFont="1" applyFill="1" applyBorder="1"/>
    <xf numFmtId="0" fontId="0" fillId="5" borderId="5" xfId="0" applyFill="1" applyBorder="1"/>
    <xf numFmtId="0" fontId="3" fillId="5" borderId="4" xfId="0" applyFont="1" applyFill="1" applyBorder="1"/>
    <xf numFmtId="0" fontId="3" fillId="5" borderId="6" xfId="0" applyFont="1" applyFill="1" applyBorder="1"/>
    <xf numFmtId="0" fontId="4" fillId="6" borderId="0" xfId="0" applyFont="1" applyFill="1"/>
    <xf numFmtId="0" fontId="4" fillId="7" borderId="0" xfId="0" applyFont="1" applyFill="1"/>
    <xf numFmtId="0" fontId="0" fillId="7" borderId="0" xfId="0" applyFill="1"/>
    <xf numFmtId="0" fontId="4" fillId="8" borderId="0" xfId="0" applyFont="1" applyFill="1"/>
    <xf numFmtId="0" fontId="0" fillId="8" borderId="0" xfId="0" applyFill="1"/>
    <xf numFmtId="0" fontId="0" fillId="9" borderId="0" xfId="0" applyFill="1"/>
    <xf numFmtId="0" fontId="4" fillId="10" borderId="0" xfId="0" applyFont="1" applyFill="1"/>
    <xf numFmtId="0" fontId="0" fillId="10" borderId="0" xfId="0" applyFill="1"/>
    <xf numFmtId="0" fontId="5" fillId="0" borderId="0" xfId="0" applyFont="1" applyFill="1" applyBorder="1"/>
    <xf numFmtId="0" fontId="6" fillId="2" borderId="1" xfId="0" applyFont="1" applyFill="1" applyBorder="1"/>
    <xf numFmtId="0" fontId="6" fillId="2" borderId="2" xfId="0" applyFont="1" applyFill="1" applyBorder="1"/>
    <xf numFmtId="0" fontId="7" fillId="2" borderId="3" xfId="0" applyFont="1" applyFill="1" applyBorder="1"/>
    <xf numFmtId="0" fontId="0" fillId="0" borderId="0" xfId="0" applyFill="1" applyBorder="1"/>
    <xf numFmtId="178" fontId="8" fillId="11" borderId="4" xfId="0" applyNumberFormat="1" applyFont="1" applyFill="1" applyBorder="1"/>
    <xf numFmtId="0" fontId="0" fillId="11" borderId="5" xfId="0" applyFill="1" applyBorder="1"/>
    <xf numFmtId="0" fontId="0" fillId="11" borderId="6" xfId="0" applyFill="1" applyBorder="1"/>
    <xf numFmtId="0" fontId="6" fillId="2" borderId="3" xfId="0" applyFont="1" applyFill="1" applyBorder="1"/>
    <xf numFmtId="0" fontId="0" fillId="0" borderId="0" xfId="0" applyFill="1"/>
    <xf numFmtId="0" fontId="8" fillId="11" borderId="4" xfId="0" applyFont="1" applyFill="1" applyBorder="1"/>
    <xf numFmtId="0" fontId="7" fillId="11" borderId="5" xfId="0" applyFont="1" applyFill="1" applyBorder="1"/>
    <xf numFmtId="0" fontId="7" fillId="11" borderId="6" xfId="0" applyFont="1" applyFill="1" applyBorder="1"/>
    <xf numFmtId="0" fontId="5" fillId="12" borderId="0" xfId="0" applyFont="1" applyFill="1"/>
    <xf numFmtId="0" fontId="4" fillId="13" borderId="0" xfId="0" applyFont="1" applyFill="1"/>
    <xf numFmtId="0" fontId="4" fillId="0" borderId="0" xfId="0" applyFont="1"/>
    <xf numFmtId="0" fontId="5" fillId="14" borderId="7" xfId="0" applyFont="1" applyFill="1" applyBorder="1"/>
    <xf numFmtId="0" fontId="5" fillId="14" borderId="8" xfId="0" applyFont="1" applyFill="1" applyBorder="1"/>
    <xf numFmtId="0" fontId="0" fillId="0" borderId="9" xfId="0" applyBorder="1"/>
    <xf numFmtId="0" fontId="0" fillId="15" borderId="10" xfId="0" applyFill="1" applyBorder="1"/>
    <xf numFmtId="0" fontId="0" fillId="15" borderId="10" xfId="0" applyNumberFormat="1" applyFill="1" applyBorder="1"/>
    <xf numFmtId="0" fontId="0" fillId="15" borderId="11" xfId="0" applyFill="1" applyBorder="1"/>
    <xf numFmtId="0" fontId="0" fillId="15" borderId="11" xfId="0" applyNumberFormat="1" applyFill="1" applyBorder="1"/>
    <xf numFmtId="0" fontId="0" fillId="15" borderId="12" xfId="0" applyFill="1" applyBorder="1"/>
    <xf numFmtId="0" fontId="0" fillId="16" borderId="9" xfId="0" applyFill="1" applyBorder="1"/>
    <xf numFmtId="0" fontId="0" fillId="16" borderId="12" xfId="0" applyNumberFormat="1" applyFill="1" applyBorder="1"/>
    <xf numFmtId="178" fontId="0" fillId="16" borderId="12" xfId="0" applyNumberFormat="1" applyFill="1" applyBorder="1"/>
    <xf numFmtId="0" fontId="0" fillId="0" borderId="12" xfId="0" applyNumberFormat="1" applyBorder="1"/>
    <xf numFmtId="58" fontId="0" fillId="15" borderId="10" xfId="0" applyNumberFormat="1" applyFill="1" applyBorder="1"/>
    <xf numFmtId="58" fontId="0" fillId="15" borderId="11" xfId="0" applyNumberFormat="1" applyFill="1" applyBorder="1"/>
    <xf numFmtId="58" fontId="0" fillId="15" borderId="12" xfId="0" applyNumberFormat="1" applyFill="1" applyBorder="1"/>
    <xf numFmtId="0" fontId="9" fillId="0" borderId="13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4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6" tint="0.799981688894314"/>
        </patternFill>
      </fill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6" tint="0.799981688894314"/>
        </patternFill>
      </fill>
    </dxf>
    <dxf>
      <fill>
        <patternFill patternType="solid">
          <bgColor theme="6" tint="0.799981688894314"/>
        </patternFill>
      </fill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solid">
          <bgColor theme="3" tint="0.599993896298105"/>
        </patternFill>
      </fill>
    </dxf>
    <dxf>
      <fill>
        <patternFill patternType="solid">
          <bgColor theme="3" tint="0.599993896298105"/>
        </patternFill>
      </fill>
    </dxf>
    <dxf>
      <numFmt numFmtId="58" formatCode="m/d/yyyy"/>
    </dxf>
    <dxf>
      <numFmt numFmtId="58" formatCode="m/d/yyyy"/>
    </dxf>
    <dxf>
      <numFmt numFmtId="178" formatCode="_ [$₹-4009]\ * #,##0.00_ ;_ [$₹-4009]\ * \-#,##0.00_ ;_ [$₹-4009]\ * &quot;-&quot;??_ ;_ @_ 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6" tint="0.799981688894314"/>
        </patternFill>
      </fill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solid">
          <bgColor theme="3" tint="0.59999389629810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6" tint="0.799981688894314"/>
        </patternFill>
      </fill>
    </dxf>
    <dxf>
      <fill>
        <patternFill patternType="solid">
          <bgColor theme="6" tint="0.799981688894314"/>
        </patternFill>
      </fill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solid">
          <bgColor theme="3" tint="0.599993896298105"/>
        </patternFill>
      </fill>
    </dxf>
    <dxf>
      <numFmt numFmtId="178" formatCode="_ [$₹-4009]\ * #,##0.00_ ;_ [$₹-4009]\ * \-#,##0.00_ ;_ [$₹-4009]\ * &quot;-&quot;??_ ;_ @_ 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6" tint="0.799981688894314"/>
        </patternFill>
      </fill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solid">
          <bgColor theme="3" tint="0.599993896298105"/>
        </patternFill>
      </fill>
    </dxf>
    <dxf>
      <numFmt numFmtId="178" formatCode="_ [$₹-4009]\ * #,##0.00_ ;_ [$₹-4009]\ * \-#,##0.00_ ;_ [$₹-4009]\ * &quot;-&quot;??_ ;_ @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4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microsoft.com/office/2007/relationships/slicerCache" Target="slicerCaches/slicerCache8.xml"/><Relationship Id="rId12" Type="http://schemas.microsoft.com/office/2007/relationships/slicerCache" Target="slicerCaches/slicerCache7.xml"/><Relationship Id="rId11" Type="http://schemas.microsoft.com/office/2007/relationships/slicerCache" Target="slicerCaches/slicerCache6.xml"/><Relationship Id="rId10" Type="http://schemas.microsoft.com/office/2007/relationships/slicerCache" Target="slicerCaches/slicerCache5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[coffee_shop_sales_records4.xlsx]Pivot table!PivotTable3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  <a:endParaRPr lang="en-US"/>
          </a:p>
        </c:rich>
      </c:tx>
      <c:layout>
        <c:manualLayout>
          <c:xMode val="edge"/>
          <c:yMode val="edge"/>
          <c:x val="0.349444444444445"/>
          <c:y val="0.142411142370867"/>
        </c:manualLayout>
      </c:layout>
      <c:overlay val="0"/>
      <c:spPr>
        <a:solidFill>
          <a:schemeClr val="bg2"/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table'!$A$5:$A$10</c:f>
              <c:strCache>
                <c:ptCount val="5"/>
                <c:pt idx="0">
                  <c:v>Airport</c:v>
                </c:pt>
                <c:pt idx="1">
                  <c:v>Business District</c:v>
                </c:pt>
                <c:pt idx="2">
                  <c:v>Downtown</c:v>
                </c:pt>
                <c:pt idx="3">
                  <c:v>Mall</c:v>
                </c:pt>
                <c:pt idx="4">
                  <c:v>University</c:v>
                </c:pt>
              </c:strCache>
            </c:strRef>
          </c:cat>
          <c:val>
            <c:numRef>
              <c:f>'Pivot table'!$B$5:$B$10</c:f>
              <c:numCache>
                <c:formatCode>General</c:formatCode>
                <c:ptCount val="5"/>
                <c:pt idx="0">
                  <c:v>3230.1</c:v>
                </c:pt>
                <c:pt idx="1">
                  <c:v>3536.17</c:v>
                </c:pt>
                <c:pt idx="2">
                  <c:v>3355.28</c:v>
                </c:pt>
                <c:pt idx="3">
                  <c:v>3387.17</c:v>
                </c:pt>
                <c:pt idx="4">
                  <c:v>2677.85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28139103"/>
        <c:axId val="1428134943"/>
      </c:barChart>
      <c:catAx>
        <c:axId val="142813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1428134943"/>
        <c:crosses val="autoZero"/>
        <c:auto val="1"/>
        <c:lblAlgn val="ctr"/>
        <c:lblOffset val="100"/>
        <c:noMultiLvlLbl val="0"/>
      </c:catAx>
      <c:valAx>
        <c:axId val="142813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14281391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86839b8-8b60-4b0f-9808-d10a630488ee}"/>
      </c:ext>
    </c:extLst>
  </c:chart>
  <c:spPr>
    <a:solidFill>
      <a:schemeClr val="bg2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[coffee_shop_sales_records4.xlsx]Pivot table!PivotTable4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catogory</a:t>
            </a:r>
            <a:endParaRPr lang="en-US"/>
          </a:p>
        </c:rich>
      </c:tx>
      <c:layout>
        <c:manualLayout>
          <c:xMode val="edge"/>
          <c:yMode val="edge"/>
          <c:x val="0.322909667541557"/>
          <c:y val="0.14949941212099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table'!$A$14:$A$18</c:f>
              <c:strCache>
                <c:ptCount val="4"/>
                <c:pt idx="0">
                  <c:v>Bakery</c:v>
                </c:pt>
                <c:pt idx="1">
                  <c:v>Coffee</c:v>
                </c:pt>
                <c:pt idx="2">
                  <c:v>Cold Drinks</c:v>
                </c:pt>
                <c:pt idx="3">
                  <c:v>Tea</c:v>
                </c:pt>
              </c:strCache>
            </c:strRef>
          </c:cat>
          <c:val>
            <c:numRef>
              <c:f>'Pivot table'!$B$14:$B$18</c:f>
              <c:numCache>
                <c:formatCode>General</c:formatCode>
                <c:ptCount val="4"/>
                <c:pt idx="0">
                  <c:v>1474.1</c:v>
                </c:pt>
                <c:pt idx="1">
                  <c:v>1611.48</c:v>
                </c:pt>
                <c:pt idx="2">
                  <c:v>1855.38</c:v>
                </c:pt>
                <c:pt idx="3">
                  <c:v>1894.22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37479295"/>
        <c:axId val="1437480127"/>
      </c:barChart>
      <c:catAx>
        <c:axId val="1437479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37480127"/>
        <c:crosses val="autoZero"/>
        <c:auto val="1"/>
        <c:lblAlgn val="ctr"/>
        <c:lblOffset val="100"/>
        <c:noMultiLvlLbl val="0"/>
      </c:catAx>
      <c:valAx>
        <c:axId val="14374801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3747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fc80a9-7abe-48bd-a59f-ac5d361f34d6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[coffee_shop_sales_records4.xlsx]Pivot table!PivotTable6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table'!$E$13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'Pivot table'!$D$14:$D$19</c:f>
              <c:strCache>
                <c:ptCount val="5"/>
                <c:pt idx="0">
                  <c:v>2025-04-16</c:v>
                </c:pt>
                <c:pt idx="1">
                  <c:v>2025-04-19</c:v>
                </c:pt>
                <c:pt idx="2">
                  <c:v>2025-06-07</c:v>
                </c:pt>
                <c:pt idx="3">
                  <c:v>2025-10-24</c:v>
                </c:pt>
                <c:pt idx="4">
                  <c:v>2025-11-11</c:v>
                </c:pt>
              </c:strCache>
            </c:strRef>
          </c:cat>
          <c:val>
            <c:numRef>
              <c:f>'Pivot table'!$E$14:$E$19</c:f>
              <c:numCache>
                <c:formatCode>General</c:formatCode>
                <c:ptCount val="5"/>
                <c:pt idx="0">
                  <c:v>134.52</c:v>
                </c:pt>
                <c:pt idx="1">
                  <c:v>167.38</c:v>
                </c:pt>
                <c:pt idx="2">
                  <c:v>139.51</c:v>
                </c:pt>
                <c:pt idx="3">
                  <c:v>140.02</c:v>
                </c:pt>
                <c:pt idx="4">
                  <c:v>129.14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437477215"/>
        <c:axId val="1437478879"/>
      </c:lineChart>
      <c:catAx>
        <c:axId val="143747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37478879"/>
        <c:crosses val="autoZero"/>
        <c:auto val="1"/>
        <c:lblAlgn val="ctr"/>
        <c:lblOffset val="100"/>
        <c:noMultiLvlLbl val="0"/>
      </c:catAx>
      <c:valAx>
        <c:axId val="143747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3747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c2dbb83-0f1e-4f93-945f-4e40b6a4adb7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[coffee_shop_sales_records4.xlsx]Pivot table!PivotTable5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</a:t>
            </a:r>
            <a:endParaRPr lang="en-US"/>
          </a:p>
        </c:rich>
      </c:tx>
      <c:layout>
        <c:manualLayout>
          <c:xMode val="edge"/>
          <c:yMode val="edge"/>
          <c:x val="0.294722222222222"/>
          <c:y val="0.1514216009342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table'!$E$4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table'!$D$5:$D$9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Mobile Wallet</c:v>
                </c:pt>
                <c:pt idx="3">
                  <c:v>UPI</c:v>
                </c:pt>
              </c:strCache>
            </c:strRef>
          </c:cat>
          <c:val>
            <c:numRef>
              <c:f>'Pivot table'!$E$5:$E$9</c:f>
              <c:numCache>
                <c:formatCode>General</c:formatCode>
                <c:ptCount val="4"/>
                <c:pt idx="0">
                  <c:v>256</c:v>
                </c:pt>
                <c:pt idx="1">
                  <c:v>246</c:v>
                </c:pt>
                <c:pt idx="2">
                  <c:v>245</c:v>
                </c:pt>
                <c:pt idx="3">
                  <c:v>253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348af06-5659-4e64-a9d9-34718e73a310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[coffee_shop_sales_records4.xlsx]Pivot table!PivotTable3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location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'Pivot table'!$B$4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lt1">
                    <a:alpha val="50000"/>
                  </a:schemeClr>
                </a:gs>
                <a:gs pos="100000">
                  <a:schemeClr val="lt1">
                    <a:alpha val="0"/>
                  </a:schemeClr>
                </a:gs>
              </a:gsLst>
              <a:lin ang="5400000" scaled="0"/>
            </a:gradFill>
            <a:ln>
              <a:solidFill>
                <a:schemeClr val="accent1"/>
              </a:solidFill>
            </a:ln>
            <a:effectLst>
              <a:innerShdw dist="38100" dir="16200000">
                <a:schemeClr val="lt1"/>
              </a:innerShdw>
            </a:effectLst>
          </c:spPr>
          <c:dLbls>
            <c:delete val="1"/>
          </c:dLbls>
          <c:cat>
            <c:strRef>
              <c:f>'Pivot table'!$A$5:$A$10</c:f>
              <c:strCache>
                <c:ptCount val="5"/>
                <c:pt idx="0">
                  <c:v>Airport</c:v>
                </c:pt>
                <c:pt idx="1">
                  <c:v>Business District</c:v>
                </c:pt>
                <c:pt idx="2">
                  <c:v>Downtown</c:v>
                </c:pt>
                <c:pt idx="3">
                  <c:v>Mall</c:v>
                </c:pt>
                <c:pt idx="4">
                  <c:v>University</c:v>
                </c:pt>
              </c:strCache>
            </c:strRef>
          </c:cat>
          <c:val>
            <c:numRef>
              <c:f>'Pivot table'!$B$5:$B$10</c:f>
              <c:numCache>
                <c:formatCode>General</c:formatCode>
                <c:ptCount val="5"/>
                <c:pt idx="0">
                  <c:v>3230.1</c:v>
                </c:pt>
                <c:pt idx="1">
                  <c:v>3536.17</c:v>
                </c:pt>
                <c:pt idx="2">
                  <c:v>3355.28</c:v>
                </c:pt>
                <c:pt idx="3">
                  <c:v>3387.17</c:v>
                </c:pt>
                <c:pt idx="4">
                  <c:v>2677.85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5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axId val="1573101711"/>
        <c:axId val="1573108783"/>
      </c:areaChart>
      <c:catAx>
        <c:axId val="157310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40000"/>
                <a:lumOff val="60000"/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1573108783"/>
        <c:crosses val="autoZero"/>
        <c:auto val="1"/>
        <c:lblAlgn val="ctr"/>
        <c:lblOffset val="100"/>
        <c:noMultiLvlLbl val="0"/>
      </c:catAx>
      <c:valAx>
        <c:axId val="157310878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1573101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429f9f39-67d0-46b1-a6c3-156e4bb609ac}"/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5">
  <cs:axisTitle>
    <cs:lnRef idx="0"/>
    <cs:fillRef idx="0"/>
    <cs:effectRef idx="0"/>
    <cs:fontRef idx="minor">
      <a:schemeClr val="lt1"/>
    </cs:fontRef>
    <cs:defRPr sz="900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categoryAxis>
  <cs:chartArea>
    <cs:lnRef idx="0">
      <cs:styleClr val="0"/>
    </cs:lnRef>
    <cs:fillRef idx="0">
      <cs:styleClr val="0"/>
    </cs:fillRef>
    <cs:effectRef idx="0"/>
    <cs:fontRef idx="minor">
      <a:schemeClr val="lt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tx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>
  <cs:dataPoint3D>
    <cs:lnRef idx="0">
      <cs:styleClr val="auto"/>
    </cs:lnRef>
    <cs:fillRef idx="0"/>
    <cs:effectRef idx="0"/>
    <cs:fontRef idx="minor">
      <a:schemeClr val="lt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lt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40000"/>
            <a:lumOff val="60000"/>
            <a:alpha val="25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lt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 cap="flat" cmpd="sng" algn="ctr">
        <a:gradFill>
          <a:gsLst>
            <a:gs pos="0">
              <a:schemeClr val="lt1"/>
            </a:gs>
            <a:gs pos="5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lt1"/>
    </cs:fontRef>
  </cs:floor>
  <cs:gridlineMaj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ajor>
  <cs:gridlineMin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hiLoLine>
  <cs:leader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lt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lt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  <cs:bodyPr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9</xdr:row>
      <xdr:rowOff>19051</xdr:rowOff>
    </xdr:from>
    <xdr:to>
      <xdr:col>7</xdr:col>
      <xdr:colOff>342900</xdr:colOff>
      <xdr:row>20</xdr:row>
      <xdr:rowOff>133350</xdr:rowOff>
    </xdr:to>
    <xdr:graphicFrame>
      <xdr:nvGraphicFramePr>
        <xdr:cNvPr id="2" name="Chart 1"/>
        <xdr:cNvGraphicFramePr/>
      </xdr:nvGraphicFramePr>
      <xdr:xfrm>
        <a:off x="38100" y="1733550"/>
        <a:ext cx="5143500" cy="2105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581025</xdr:colOff>
      <xdr:row>9</xdr:row>
      <xdr:rowOff>9525</xdr:rowOff>
    </xdr:from>
    <xdr:to>
      <xdr:col>15</xdr:col>
      <xdr:colOff>276225</xdr:colOff>
      <xdr:row>20</xdr:row>
      <xdr:rowOff>19050</xdr:rowOff>
    </xdr:to>
    <xdr:graphicFrame>
      <xdr:nvGraphicFramePr>
        <xdr:cNvPr id="3" name="Chart 2"/>
        <xdr:cNvGraphicFramePr/>
      </xdr:nvGraphicFramePr>
      <xdr:xfrm>
        <a:off x="5419725" y="1724025"/>
        <a:ext cx="5181600" cy="2000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9</xdr:row>
      <xdr:rowOff>0</xdr:rowOff>
    </xdr:from>
    <xdr:to>
      <xdr:col>23</xdr:col>
      <xdr:colOff>304800</xdr:colOff>
      <xdr:row>19</xdr:row>
      <xdr:rowOff>180975</xdr:rowOff>
    </xdr:to>
    <xdr:graphicFrame>
      <xdr:nvGraphicFramePr>
        <xdr:cNvPr id="4" name="Chart 3"/>
        <xdr:cNvGraphicFramePr/>
      </xdr:nvGraphicFramePr>
      <xdr:xfrm>
        <a:off x="11010900" y="1714500"/>
        <a:ext cx="51054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7</xdr:col>
      <xdr:colOff>304800</xdr:colOff>
      <xdr:row>35</xdr:row>
      <xdr:rowOff>66675</xdr:rowOff>
    </xdr:to>
    <xdr:graphicFrame>
      <xdr:nvGraphicFramePr>
        <xdr:cNvPr id="5" name="Chart 4"/>
        <xdr:cNvGraphicFramePr/>
      </xdr:nvGraphicFramePr>
      <xdr:xfrm>
        <a:off x="0" y="4429125"/>
        <a:ext cx="5143500" cy="205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2</xdr:col>
      <xdr:colOff>419100</xdr:colOff>
      <xdr:row>55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Store_Lo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e_Lo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7819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0</xdr:colOff>
      <xdr:row>42</xdr:row>
      <xdr:rowOff>0</xdr:rowOff>
    </xdr:from>
    <xdr:to>
      <xdr:col>6</xdr:col>
      <xdr:colOff>457200</xdr:colOff>
      <xdr:row>55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Sales_Amou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_Amou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81300" y="77819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457200</xdr:colOff>
      <xdr:row>55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Transaction_I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action_I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24500" y="77819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0</xdr:colOff>
      <xdr:row>42</xdr:row>
      <xdr:rowOff>0</xdr:rowOff>
    </xdr:from>
    <xdr:to>
      <xdr:col>14</xdr:col>
      <xdr:colOff>457200</xdr:colOff>
      <xdr:row>55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Payment_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7700" y="77819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600075</xdr:colOff>
      <xdr:row>58</xdr:row>
      <xdr:rowOff>180975</xdr:rowOff>
    </xdr:from>
    <xdr:to>
      <xdr:col>10</xdr:col>
      <xdr:colOff>371475</xdr:colOff>
      <xdr:row>72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Product_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38775" y="10858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19050</xdr:colOff>
      <xdr:row>58</xdr:row>
      <xdr:rowOff>180975</xdr:rowOff>
    </xdr:from>
    <xdr:to>
      <xdr:col>14</xdr:col>
      <xdr:colOff>476250</xdr:colOff>
      <xdr:row>72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Quantity_Sol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Quantity_Sol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86750" y="10858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58</xdr:row>
      <xdr:rowOff>161925</xdr:rowOff>
    </xdr:from>
    <xdr:to>
      <xdr:col>2</xdr:col>
      <xdr:colOff>419100</xdr:colOff>
      <xdr:row>72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Product_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839450"/>
              <a:ext cx="1828800" cy="2514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9525</xdr:colOff>
      <xdr:row>59</xdr:row>
      <xdr:rowOff>9525</xdr:rowOff>
    </xdr:from>
    <xdr:to>
      <xdr:col>6</xdr:col>
      <xdr:colOff>466725</xdr:colOff>
      <xdr:row>73</xdr:row>
      <xdr:rowOff>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Profi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i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90825" y="108680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10</xdr:col>
      <xdr:colOff>0</xdr:colOff>
      <xdr:row>24</xdr:row>
      <xdr:rowOff>0</xdr:rowOff>
    </xdr:from>
    <xdr:to>
      <xdr:col>17</xdr:col>
      <xdr:colOff>304800</xdr:colOff>
      <xdr:row>35</xdr:row>
      <xdr:rowOff>28575</xdr:rowOff>
    </xdr:to>
    <xdr:graphicFrame>
      <xdr:nvGraphicFramePr>
        <xdr:cNvPr id="15" name="Chart 14"/>
        <xdr:cNvGraphicFramePr/>
      </xdr:nvGraphicFramePr>
      <xdr:xfrm>
        <a:off x="6896100" y="4429125"/>
        <a:ext cx="5105400" cy="2019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7.7297569444" refreshedBy="Admin" recordCount="1000">
  <cacheSource type="worksheet">
    <worksheetSource ref="A1:N1001" sheet="Coffee Shop Sales"/>
  </cacheSource>
  <cacheFields count="14">
    <cacheField name="Transaction_ID" numFmtId="0">
      <sharedItems count="1000">
        <s v="T00001"/>
        <s v="T00002"/>
        <s v="T00003"/>
        <s v="T00004"/>
        <s v="T00005"/>
        <s v="T00006"/>
        <s v="T00007"/>
        <s v="T00008"/>
        <s v="T00009"/>
        <s v="T00010"/>
        <s v="T00011"/>
        <s v="T00012"/>
        <s v="T00013"/>
        <s v="T00014"/>
        <s v="T00015"/>
        <s v="T00016"/>
        <s v="T00017"/>
        <s v="T00018"/>
        <s v="T00019"/>
        <s v="T00020"/>
        <s v="T00021"/>
        <s v="T00022"/>
        <s v="T00023"/>
        <s v="T00024"/>
        <s v="T00025"/>
        <s v="T00026"/>
        <s v="T00027"/>
        <s v="T00028"/>
        <s v="T00029"/>
        <s v="T00030"/>
        <s v="T00031"/>
        <s v="T00032"/>
        <s v="T00033"/>
        <s v="T00034"/>
        <s v="T00035"/>
        <s v="T00036"/>
        <s v="T00037"/>
        <s v="T00038"/>
        <s v="T00039"/>
        <s v="T00040"/>
        <s v="T00041"/>
        <s v="T00042"/>
        <s v="T00043"/>
        <s v="T00044"/>
        <s v="T00045"/>
        <s v="T00046"/>
        <s v="T00047"/>
        <s v="T00048"/>
        <s v="T00049"/>
        <s v="T00050"/>
        <s v="T00051"/>
        <s v="T00052"/>
        <s v="T00053"/>
        <s v="T00054"/>
        <s v="T00055"/>
        <s v="T00056"/>
        <s v="T00057"/>
        <s v="T00058"/>
        <s v="T00059"/>
        <s v="T00060"/>
        <s v="T00061"/>
        <s v="T00062"/>
        <s v="T00063"/>
        <s v="T00064"/>
        <s v="T00065"/>
        <s v="T00066"/>
        <s v="T00067"/>
        <s v="T00068"/>
        <s v="T00069"/>
        <s v="T00070"/>
        <s v="T00071"/>
        <s v="T00072"/>
        <s v="T00073"/>
        <s v="T00074"/>
        <s v="T00075"/>
        <s v="T00076"/>
        <s v="T00077"/>
        <s v="T00078"/>
        <s v="T00079"/>
        <s v="T00080"/>
        <s v="T00081"/>
        <s v="T00082"/>
        <s v="T00083"/>
        <s v="T00084"/>
        <s v="T00085"/>
        <s v="T00086"/>
        <s v="T00087"/>
        <s v="T00088"/>
        <s v="T00089"/>
        <s v="T00090"/>
        <s v="T00091"/>
        <s v="T00092"/>
        <s v="T00093"/>
        <s v="T00094"/>
        <s v="T00095"/>
        <s v="T00096"/>
        <s v="T00097"/>
        <s v="T00098"/>
        <s v="T00099"/>
        <s v="T00100"/>
        <s v="T00101"/>
        <s v="T00102"/>
        <s v="T00103"/>
        <s v="T00104"/>
        <s v="T00105"/>
        <s v="T00106"/>
        <s v="T00107"/>
        <s v="T00108"/>
        <s v="T00109"/>
        <s v="T00110"/>
        <s v="T00111"/>
        <s v="T00112"/>
        <s v="T00113"/>
        <s v="T00114"/>
        <s v="T00115"/>
        <s v="T00116"/>
        <s v="T00117"/>
        <s v="T00118"/>
        <s v="T00119"/>
        <s v="T00120"/>
        <s v="T00121"/>
        <s v="T00122"/>
        <s v="T00123"/>
        <s v="T00124"/>
        <s v="T00125"/>
        <s v="T00126"/>
        <s v="T00127"/>
        <s v="T00128"/>
        <s v="T00129"/>
        <s v="T00130"/>
        <s v="T00131"/>
        <s v="T00132"/>
        <s v="T00133"/>
        <s v="T00134"/>
        <s v="T00135"/>
        <s v="T00136"/>
        <s v="T00137"/>
        <s v="T00138"/>
        <s v="T00139"/>
        <s v="T00140"/>
        <s v="T00141"/>
        <s v="T00142"/>
        <s v="T00143"/>
        <s v="T00144"/>
        <s v="T00145"/>
        <s v="T00146"/>
        <s v="T00147"/>
        <s v="T00148"/>
        <s v="T00149"/>
        <s v="T00150"/>
        <s v="T00151"/>
        <s v="T00152"/>
        <s v="T00153"/>
        <s v="T00154"/>
        <s v="T00155"/>
        <s v="T00156"/>
        <s v="T00157"/>
        <s v="T00158"/>
        <s v="T00159"/>
        <s v="T00160"/>
        <s v="T00161"/>
        <s v="T00162"/>
        <s v="T00163"/>
        <s v="T00164"/>
        <s v="T00165"/>
        <s v="T00166"/>
        <s v="T00167"/>
        <s v="T00168"/>
        <s v="T00169"/>
        <s v="T00170"/>
        <s v="T00171"/>
        <s v="T00172"/>
        <s v="T00173"/>
        <s v="T00174"/>
        <s v="T00175"/>
        <s v="T00176"/>
        <s v="T00177"/>
        <s v="T00178"/>
        <s v="T00179"/>
        <s v="T00180"/>
        <s v="T00181"/>
        <s v="T00182"/>
        <s v="T00183"/>
        <s v="T00184"/>
        <s v="T00185"/>
        <s v="T00186"/>
        <s v="T00187"/>
        <s v="T00188"/>
        <s v="T00189"/>
        <s v="T00190"/>
        <s v="T00191"/>
        <s v="T00192"/>
        <s v="T00193"/>
        <s v="T00194"/>
        <s v="T00195"/>
        <s v="T00196"/>
        <s v="T00197"/>
        <s v="T00198"/>
        <s v="T00199"/>
        <s v="T00200"/>
        <s v="T00201"/>
        <s v="T00202"/>
        <s v="T00203"/>
        <s v="T00204"/>
        <s v="T00205"/>
        <s v="T00206"/>
        <s v="T00207"/>
        <s v="T00208"/>
        <s v="T00209"/>
        <s v="T00210"/>
        <s v="T00211"/>
        <s v="T00212"/>
        <s v="T00213"/>
        <s v="T00214"/>
        <s v="T00215"/>
        <s v="T00216"/>
        <s v="T00217"/>
        <s v="T00218"/>
        <s v="T00219"/>
        <s v="T00220"/>
        <s v="T00221"/>
        <s v="T00222"/>
        <s v="T00223"/>
        <s v="T00224"/>
        <s v="T00225"/>
        <s v="T00226"/>
        <s v="T00227"/>
        <s v="T00228"/>
        <s v="T00229"/>
        <s v="T00230"/>
        <s v="T00231"/>
        <s v="T00232"/>
        <s v="T00233"/>
        <s v="T00234"/>
        <s v="T00235"/>
        <s v="T00236"/>
        <s v="T00237"/>
        <s v="T00238"/>
        <s v="T00239"/>
        <s v="T00240"/>
        <s v="T00241"/>
        <s v="T00242"/>
        <s v="T00243"/>
        <s v="T00244"/>
        <s v="T00245"/>
        <s v="T00246"/>
        <s v="T00247"/>
        <s v="T00248"/>
        <s v="T00249"/>
        <s v="T00250"/>
        <s v="T00251"/>
        <s v="T00252"/>
        <s v="T00253"/>
        <s v="T00254"/>
        <s v="T00255"/>
        <s v="T00256"/>
        <s v="T00257"/>
        <s v="T00258"/>
        <s v="T00259"/>
        <s v="T00260"/>
        <s v="T00261"/>
        <s v="T00262"/>
        <s v="T00263"/>
        <s v="T00264"/>
        <s v="T00265"/>
        <s v="T00266"/>
        <s v="T00267"/>
        <s v="T00268"/>
        <s v="T00269"/>
        <s v="T00270"/>
        <s v="T00271"/>
        <s v="T00272"/>
        <s v="T00273"/>
        <s v="T00274"/>
        <s v="T00275"/>
        <s v="T00276"/>
        <s v="T00277"/>
        <s v="T00278"/>
        <s v="T00279"/>
        <s v="T00280"/>
        <s v="T00281"/>
        <s v="T00282"/>
        <s v="T00283"/>
        <s v="T00284"/>
        <s v="T00285"/>
        <s v="T00286"/>
        <s v="T00287"/>
        <s v="T00288"/>
        <s v="T00289"/>
        <s v="T00290"/>
        <s v="T00291"/>
        <s v="T00292"/>
        <s v="T00293"/>
        <s v="T00294"/>
        <s v="T00295"/>
        <s v="T00296"/>
        <s v="T00297"/>
        <s v="T00298"/>
        <s v="T00299"/>
        <s v="T00300"/>
        <s v="T00301"/>
        <s v="T00302"/>
        <s v="T00303"/>
        <s v="T00304"/>
        <s v="T00305"/>
        <s v="T00306"/>
        <s v="T00307"/>
        <s v="T00308"/>
        <s v="T00309"/>
        <s v="T00310"/>
        <s v="T00311"/>
        <s v="T00312"/>
        <s v="T00313"/>
        <s v="T00314"/>
        <s v="T00315"/>
        <s v="T00316"/>
        <s v="T00317"/>
        <s v="T00318"/>
        <s v="T00319"/>
        <s v="T00320"/>
        <s v="T00321"/>
        <s v="T00322"/>
        <s v="T00323"/>
        <s v="T00324"/>
        <s v="T00325"/>
        <s v="T00326"/>
        <s v="T00327"/>
        <s v="T00328"/>
        <s v="T00329"/>
        <s v="T00330"/>
        <s v="T00331"/>
        <s v="T00332"/>
        <s v="T00333"/>
        <s v="T00334"/>
        <s v="T00335"/>
        <s v="T00336"/>
        <s v="T00337"/>
        <s v="T00338"/>
        <s v="T00339"/>
        <s v="T00340"/>
        <s v="T00341"/>
        <s v="T00342"/>
        <s v="T00343"/>
        <s v="T00344"/>
        <s v="T00345"/>
        <s v="T00346"/>
        <s v="T00347"/>
        <s v="T00348"/>
        <s v="T00349"/>
        <s v="T00350"/>
        <s v="T00351"/>
        <s v="T00352"/>
        <s v="T00353"/>
        <s v="T00354"/>
        <s v="T00355"/>
        <s v="T00356"/>
        <s v="T00357"/>
        <s v="T00358"/>
        <s v="T00359"/>
        <s v="T00360"/>
        <s v="T00361"/>
        <s v="T00362"/>
        <s v="T00363"/>
        <s v="T00364"/>
        <s v="T00365"/>
        <s v="T00366"/>
        <s v="T00367"/>
        <s v="T00368"/>
        <s v="T00369"/>
        <s v="T00370"/>
        <s v="T00371"/>
        <s v="T00372"/>
        <s v="T00373"/>
        <s v="T00374"/>
        <s v="T00375"/>
        <s v="T00376"/>
        <s v="T00377"/>
        <s v="T00378"/>
        <s v="T00379"/>
        <s v="T00380"/>
        <s v="T00381"/>
        <s v="T00382"/>
        <s v="T00383"/>
        <s v="T00384"/>
        <s v="T00385"/>
        <s v="T00386"/>
        <s v="T00387"/>
        <s v="T00388"/>
        <s v="T00389"/>
        <s v="T00390"/>
        <s v="T00391"/>
        <s v="T00392"/>
        <s v="T00393"/>
        <s v="T00394"/>
        <s v="T00395"/>
        <s v="T00396"/>
        <s v="T00397"/>
        <s v="T00398"/>
        <s v="T00399"/>
        <s v="T00400"/>
        <s v="T00401"/>
        <s v="T00402"/>
        <s v="T00403"/>
        <s v="T00404"/>
        <s v="T00405"/>
        <s v="T00406"/>
        <s v="T00407"/>
        <s v="T00408"/>
        <s v="T00409"/>
        <s v="T00410"/>
        <s v="T00411"/>
        <s v="T00412"/>
        <s v="T00413"/>
        <s v="T00414"/>
        <s v="T00415"/>
        <s v="T00416"/>
        <s v="T00417"/>
        <s v="T00418"/>
        <s v="T00419"/>
        <s v="T00420"/>
        <s v="T00421"/>
        <s v="T00422"/>
        <s v="T00423"/>
        <s v="T00424"/>
        <s v="T00425"/>
        <s v="T00426"/>
        <s v="T00427"/>
        <s v="T00428"/>
        <s v="T00429"/>
        <s v="T00430"/>
        <s v="T00431"/>
        <s v="T00432"/>
        <s v="T00433"/>
        <s v="T00434"/>
        <s v="T00435"/>
        <s v="T00436"/>
        <s v="T00437"/>
        <s v="T00438"/>
        <s v="T00439"/>
        <s v="T00440"/>
        <s v="T00441"/>
        <s v="T00442"/>
        <s v="T00443"/>
        <s v="T00444"/>
        <s v="T00445"/>
        <s v="T00446"/>
        <s v="T00447"/>
        <s v="T00448"/>
        <s v="T00449"/>
        <s v="T00450"/>
        <s v="T00451"/>
        <s v="T00452"/>
        <s v="T00453"/>
        <s v="T00454"/>
        <s v="T00455"/>
        <s v="T00456"/>
        <s v="T00457"/>
        <s v="T00458"/>
        <s v="T00459"/>
        <s v="T00460"/>
        <s v="T00461"/>
        <s v="T00462"/>
        <s v="T00463"/>
        <s v="T00464"/>
        <s v="T00465"/>
        <s v="T00466"/>
        <s v="T00467"/>
        <s v="T00468"/>
        <s v="T00469"/>
        <s v="T00470"/>
        <s v="T00471"/>
        <s v="T00472"/>
        <s v="T00473"/>
        <s v="T00474"/>
        <s v="T00475"/>
        <s v="T00476"/>
        <s v="T00477"/>
        <s v="T00478"/>
        <s v="T00479"/>
        <s v="T00480"/>
        <s v="T00481"/>
        <s v="T00482"/>
        <s v="T00483"/>
        <s v="T00484"/>
        <s v="T00485"/>
        <s v="T00486"/>
        <s v="T00487"/>
        <s v="T00488"/>
        <s v="T00489"/>
        <s v="T00490"/>
        <s v="T00491"/>
        <s v="T00492"/>
        <s v="T00493"/>
        <s v="T00494"/>
        <s v="T00495"/>
        <s v="T00496"/>
        <s v="T00497"/>
        <s v="T00498"/>
        <s v="T00499"/>
        <s v="T00500"/>
        <s v="T00501"/>
        <s v="T00502"/>
        <s v="T00503"/>
        <s v="T00504"/>
        <s v="T00505"/>
        <s v="T00506"/>
        <s v="T00507"/>
        <s v="T00508"/>
        <s v="T00509"/>
        <s v="T00510"/>
        <s v="T00511"/>
        <s v="T00512"/>
        <s v="T00513"/>
        <s v="T00514"/>
        <s v="T00515"/>
        <s v="T00516"/>
        <s v="T00517"/>
        <s v="T00518"/>
        <s v="T00519"/>
        <s v="T00520"/>
        <s v="T00521"/>
        <s v="T00522"/>
        <s v="T00523"/>
        <s v="T00524"/>
        <s v="T00525"/>
        <s v="T00526"/>
        <s v="T00527"/>
        <s v="T00528"/>
        <s v="T00529"/>
        <s v="T00530"/>
        <s v="T00531"/>
        <s v="T00532"/>
        <s v="T00533"/>
        <s v="T00534"/>
        <s v="T00535"/>
        <s v="T00536"/>
        <s v="T00537"/>
        <s v="T00538"/>
        <s v="T00539"/>
        <s v="T00540"/>
        <s v="T00541"/>
        <s v="T00542"/>
        <s v="T00543"/>
        <s v="T00544"/>
        <s v="T00545"/>
        <s v="T00546"/>
        <s v="T00547"/>
        <s v="T00548"/>
        <s v="T00549"/>
        <s v="T00550"/>
        <s v="T00551"/>
        <s v="T00552"/>
        <s v="T00553"/>
        <s v="T00554"/>
        <s v="T00555"/>
        <s v="T00556"/>
        <s v="T00557"/>
        <s v="T00558"/>
        <s v="T00559"/>
        <s v="T00560"/>
        <s v="T00561"/>
        <s v="T00562"/>
        <s v="T00563"/>
        <s v="T00564"/>
        <s v="T00565"/>
        <s v="T00566"/>
        <s v="T00567"/>
        <s v="T00568"/>
        <s v="T00569"/>
        <s v="T00570"/>
        <s v="T00571"/>
        <s v="T00572"/>
        <s v="T00573"/>
        <s v="T00574"/>
        <s v="T00575"/>
        <s v="T00576"/>
        <s v="T00577"/>
        <s v="T00578"/>
        <s v="T00579"/>
        <s v="T00580"/>
        <s v="T00581"/>
        <s v="T00582"/>
        <s v="T00583"/>
        <s v="T00584"/>
        <s v="T00585"/>
        <s v="T00586"/>
        <s v="T00587"/>
        <s v="T00588"/>
        <s v="T00589"/>
        <s v="T00590"/>
        <s v="T00591"/>
        <s v="T00592"/>
        <s v="T00593"/>
        <s v="T00594"/>
        <s v="T00595"/>
        <s v="T00596"/>
        <s v="T00597"/>
        <s v="T00598"/>
        <s v="T00599"/>
        <s v="T00600"/>
        <s v="T00601"/>
        <s v="T00602"/>
        <s v="T00603"/>
        <s v="T00604"/>
        <s v="T00605"/>
        <s v="T00606"/>
        <s v="T00607"/>
        <s v="T00608"/>
        <s v="T00609"/>
        <s v="T00610"/>
        <s v="T00611"/>
        <s v="T00612"/>
        <s v="T00613"/>
        <s v="T00614"/>
        <s v="T00615"/>
        <s v="T00616"/>
        <s v="T00617"/>
        <s v="T00618"/>
        <s v="T00619"/>
        <s v="T00620"/>
        <s v="T00621"/>
        <s v="T00622"/>
        <s v="T00623"/>
        <s v="T00624"/>
        <s v="T00625"/>
        <s v="T00626"/>
        <s v="T00627"/>
        <s v="T00628"/>
        <s v="T00629"/>
        <s v="T00630"/>
        <s v="T00631"/>
        <s v="T00632"/>
        <s v="T00633"/>
        <s v="T00634"/>
        <s v="T00635"/>
        <s v="T00636"/>
        <s v="T00637"/>
        <s v="T00638"/>
        <s v="T00639"/>
        <s v="T00640"/>
        <s v="T00641"/>
        <s v="T00642"/>
        <s v="T00643"/>
        <s v="T00644"/>
        <s v="T00645"/>
        <s v="T00646"/>
        <s v="T00647"/>
        <s v="T00648"/>
        <s v="T00649"/>
        <s v="T00650"/>
        <s v="T00651"/>
        <s v="T00652"/>
        <s v="T00653"/>
        <s v="T00654"/>
        <s v="T00655"/>
        <s v="T00656"/>
        <s v="T00657"/>
        <s v="T00658"/>
        <s v="T00659"/>
        <s v="T00660"/>
        <s v="T00661"/>
        <s v="T00662"/>
        <s v="T00663"/>
        <s v="T00664"/>
        <s v="T00665"/>
        <s v="T00666"/>
        <s v="T00667"/>
        <s v="T00668"/>
        <s v="T00669"/>
        <s v="T00670"/>
        <s v="T00671"/>
        <s v="T00672"/>
        <s v="T00673"/>
        <s v="T00674"/>
        <s v="T00675"/>
        <s v="T00676"/>
        <s v="T00677"/>
        <s v="T00678"/>
        <s v="T00679"/>
        <s v="T00680"/>
        <s v="T00681"/>
        <s v="T00682"/>
        <s v="T00683"/>
        <s v="T00684"/>
        <s v="T00685"/>
        <s v="T00686"/>
        <s v="T00687"/>
        <s v="T00688"/>
        <s v="T00689"/>
        <s v="T00690"/>
        <s v="T00691"/>
        <s v="T00692"/>
        <s v="T00693"/>
        <s v="T00694"/>
        <s v="T00695"/>
        <s v="T00696"/>
        <s v="T00697"/>
        <s v="T00698"/>
        <s v="T00699"/>
        <s v="T00700"/>
        <s v="T00701"/>
        <s v="T00702"/>
        <s v="T00703"/>
        <s v="T00704"/>
        <s v="T00705"/>
        <s v="T00706"/>
        <s v="T00707"/>
        <s v="T00708"/>
        <s v="T00709"/>
        <s v="T00710"/>
        <s v="T00711"/>
        <s v="T00712"/>
        <s v="T00713"/>
        <s v="T00714"/>
        <s v="T00715"/>
        <s v="T00716"/>
        <s v="T00717"/>
        <s v="T00718"/>
        <s v="T00719"/>
        <s v="T00720"/>
        <s v="T00721"/>
        <s v="T00722"/>
        <s v="T00723"/>
        <s v="T00724"/>
        <s v="T00725"/>
        <s v="T00726"/>
        <s v="T00727"/>
        <s v="T00728"/>
        <s v="T00729"/>
        <s v="T00730"/>
        <s v="T00731"/>
        <s v="T00732"/>
        <s v="T00733"/>
        <s v="T00734"/>
        <s v="T00735"/>
        <s v="T00736"/>
        <s v="T00737"/>
        <s v="T00738"/>
        <s v="T00739"/>
        <s v="T00740"/>
        <s v="T00741"/>
        <s v="T00742"/>
        <s v="T00743"/>
        <s v="T00744"/>
        <s v="T00745"/>
        <s v="T00746"/>
        <s v="T00747"/>
        <s v="T00748"/>
        <s v="T00749"/>
        <s v="T00750"/>
        <s v="T00751"/>
        <s v="T00752"/>
        <s v="T00753"/>
        <s v="T00754"/>
        <s v="T00755"/>
        <s v="T00756"/>
        <s v="T00757"/>
        <s v="T00758"/>
        <s v="T00759"/>
        <s v="T00760"/>
        <s v="T00761"/>
        <s v="T00762"/>
        <s v="T00763"/>
        <s v="T00764"/>
        <s v="T00765"/>
        <s v="T00766"/>
        <s v="T00767"/>
        <s v="T00768"/>
        <s v="T00769"/>
        <s v="T00770"/>
        <s v="T00771"/>
        <s v="T00772"/>
        <s v="T00773"/>
        <s v="T00774"/>
        <s v="T00775"/>
        <s v="T00776"/>
        <s v="T00777"/>
        <s v="T00778"/>
        <s v="T00779"/>
        <s v="T00780"/>
        <s v="T00781"/>
        <s v="T00782"/>
        <s v="T00783"/>
        <s v="T00784"/>
        <s v="T00785"/>
        <s v="T00786"/>
        <s v="T00787"/>
        <s v="T00788"/>
        <s v="T00789"/>
        <s v="T00790"/>
        <s v="T00791"/>
        <s v="T00792"/>
        <s v="T00793"/>
        <s v="T00794"/>
        <s v="T00795"/>
        <s v="T00796"/>
        <s v="T00797"/>
        <s v="T00798"/>
        <s v="T00799"/>
        <s v="T00800"/>
        <s v="T00801"/>
        <s v="T00802"/>
        <s v="T00803"/>
        <s v="T00804"/>
        <s v="T00805"/>
        <s v="T00806"/>
        <s v="T00807"/>
        <s v="T00808"/>
        <s v="T00809"/>
        <s v="T00810"/>
        <s v="T00811"/>
        <s v="T00812"/>
        <s v="T00813"/>
        <s v="T00814"/>
        <s v="T00815"/>
        <s v="T00816"/>
        <s v="T00817"/>
        <s v="T00818"/>
        <s v="T00819"/>
        <s v="T00820"/>
        <s v="T00821"/>
        <s v="T00822"/>
        <s v="T00823"/>
        <s v="T00824"/>
        <s v="T00825"/>
        <s v="T00826"/>
        <s v="T00827"/>
        <s v="T00828"/>
        <s v="T00829"/>
        <s v="T00830"/>
        <s v="T00831"/>
        <s v="T00832"/>
        <s v="T00833"/>
        <s v="T00834"/>
        <s v="T00835"/>
        <s v="T00836"/>
        <s v="T00837"/>
        <s v="T00838"/>
        <s v="T00839"/>
        <s v="T00840"/>
        <s v="T00841"/>
        <s v="T00842"/>
        <s v="T00843"/>
        <s v="T00844"/>
        <s v="T00845"/>
        <s v="T00846"/>
        <s v="T00847"/>
        <s v="T00848"/>
        <s v="T00849"/>
        <s v="T00850"/>
        <s v="T00851"/>
        <s v="T00852"/>
        <s v="T00853"/>
        <s v="T00854"/>
        <s v="T00855"/>
        <s v="T00856"/>
        <s v="T00857"/>
        <s v="T00858"/>
        <s v="T00859"/>
        <s v="T00860"/>
        <s v="T00861"/>
        <s v="T00862"/>
        <s v="T00863"/>
        <s v="T00864"/>
        <s v="T00865"/>
        <s v="T00866"/>
        <s v="T00867"/>
        <s v="T00868"/>
        <s v="T00869"/>
        <s v="T00870"/>
        <s v="T00871"/>
        <s v="T00872"/>
        <s v="T00873"/>
        <s v="T00874"/>
        <s v="T00875"/>
        <s v="T00876"/>
        <s v="T00877"/>
        <s v="T00878"/>
        <s v="T00879"/>
        <s v="T00880"/>
        <s v="T00881"/>
        <s v="T00882"/>
        <s v="T00883"/>
        <s v="T00884"/>
        <s v="T00885"/>
        <s v="T00886"/>
        <s v="T00887"/>
        <s v="T00888"/>
        <s v="T00889"/>
        <s v="T00890"/>
        <s v="T00891"/>
        <s v="T00892"/>
        <s v="T00893"/>
        <s v="T00894"/>
        <s v="T00895"/>
        <s v="T00896"/>
        <s v="T00897"/>
        <s v="T00898"/>
        <s v="T00899"/>
        <s v="T00900"/>
        <s v="T00901"/>
        <s v="T00902"/>
        <s v="T00903"/>
        <s v="T00904"/>
        <s v="T00905"/>
        <s v="T00906"/>
        <s v="T00907"/>
        <s v="T00908"/>
        <s v="T00909"/>
        <s v="T00910"/>
        <s v="T00911"/>
        <s v="T00912"/>
        <s v="T00913"/>
        <s v="T00914"/>
        <s v="T00915"/>
        <s v="T00916"/>
        <s v="T00917"/>
        <s v="T00918"/>
        <s v="T00919"/>
        <s v="T00920"/>
        <s v="T00921"/>
        <s v="T00922"/>
        <s v="T00923"/>
        <s v="T00924"/>
        <s v="T00925"/>
        <s v="T00926"/>
        <s v="T00927"/>
        <s v="T00928"/>
        <s v="T00929"/>
        <s v="T00930"/>
        <s v="T00931"/>
        <s v="T00932"/>
        <s v="T00933"/>
        <s v="T00934"/>
        <s v="T00935"/>
        <s v="T00936"/>
        <s v="T00937"/>
        <s v="T00938"/>
        <s v="T00939"/>
        <s v="T00940"/>
        <s v="T00941"/>
        <s v="T00942"/>
        <s v="T00943"/>
        <s v="T00944"/>
        <s v="T00945"/>
        <s v="T00946"/>
        <s v="T00947"/>
        <s v="T00948"/>
        <s v="T00949"/>
        <s v="T00950"/>
        <s v="T00951"/>
        <s v="T00952"/>
        <s v="T00953"/>
        <s v="T00954"/>
        <s v="T00955"/>
        <s v="T00956"/>
        <s v="T00957"/>
        <s v="T00958"/>
        <s v="T00959"/>
        <s v="T00960"/>
        <s v="T00961"/>
        <s v="T00962"/>
        <s v="T00963"/>
        <s v="T00964"/>
        <s v="T00965"/>
        <s v="T00966"/>
        <s v="T00967"/>
        <s v="T00968"/>
        <s v="T00969"/>
        <s v="T00970"/>
        <s v="T00971"/>
        <s v="T00972"/>
        <s v="T00973"/>
        <s v="T00974"/>
        <s v="T00975"/>
        <s v="T00976"/>
        <s v="T00977"/>
        <s v="T00978"/>
        <s v="T00979"/>
        <s v="T00980"/>
        <s v="T00981"/>
        <s v="T00982"/>
        <s v="T00983"/>
        <s v="T00984"/>
        <s v="T00985"/>
        <s v="T00986"/>
        <s v="T00987"/>
        <s v="T00988"/>
        <s v="T00989"/>
        <s v="T00990"/>
        <s v="T00991"/>
        <s v="T00992"/>
        <s v="T00993"/>
        <s v="T00994"/>
        <s v="T00995"/>
        <s v="T00996"/>
        <s v="T00997"/>
        <s v="T00998"/>
        <s v="T00999"/>
        <s v="T01000"/>
      </sharedItems>
    </cacheField>
    <cacheField name="Date" numFmtId="0">
      <sharedItems count="341">
        <s v="2025-07-28"/>
        <s v="2025-07-15"/>
        <s v="2025-07-10"/>
        <s v="2025-09-24"/>
        <s v="2025-04-13"/>
        <s v="2025-11-17"/>
        <s v="2025-12-28"/>
        <s v="2025-04-19"/>
        <s v="2025-10-25"/>
        <s v="2025-02-09"/>
        <s v="2025-09-12"/>
        <s v="2025-11-22"/>
        <s v="2025-03-22"/>
        <s v="2025-05-19"/>
        <s v="2025-12-18"/>
        <s v="2025-12-25"/>
        <s v="2025-05-26"/>
        <s v="2025-07-23"/>
        <s v="2025-02-03"/>
        <s v="2025-07-22"/>
        <s v="2025-01-01"/>
        <s v="2025-01-30"/>
        <s v="2025-11-13"/>
        <s v="2025-05-02"/>
        <s v="2025-02-04"/>
        <s v="2025-04-14"/>
        <s v="2025-11-12"/>
        <s v="2025-12-02"/>
        <s v="2025-04-17"/>
        <s v="2025-05-15"/>
        <s v="2025-06-08"/>
        <s v="2025-04-23"/>
        <s v="2025-09-23"/>
        <s v="2025-01-23"/>
        <s v="2025-10-14"/>
        <s v="2025-11-21"/>
        <s v="2025-05-23"/>
        <s v="2025-10-12"/>
        <s v="2025-08-11"/>
        <s v="2025-12-01"/>
        <s v="2025-11-30"/>
        <s v="2025-01-24"/>
        <s v="2025-11-25"/>
        <s v="2025-03-24"/>
        <s v="2025-11-07"/>
        <s v="2025-02-17"/>
        <s v="2025-02-11"/>
        <s v="2025-11-26"/>
        <s v="2025-10-29"/>
        <s v="2025-08-14"/>
        <s v="2025-12-19"/>
        <s v="2025-02-25"/>
        <s v="2025-09-26"/>
        <s v="2025-03-09"/>
        <s v="2025-06-07"/>
        <s v="2025-07-27"/>
        <s v="2025-03-17"/>
        <s v="2025-10-06"/>
        <s v="2025-04-09"/>
        <s v="2025-01-22"/>
        <s v="2025-04-26"/>
        <s v="2025-02-24"/>
        <s v="2025-12-27"/>
        <s v="2025-04-15"/>
        <s v="2025-12-13"/>
        <s v="2025-06-10"/>
        <s v="2025-11-10"/>
        <s v="2025-03-28"/>
        <s v="2025-03-29"/>
        <s v="2025-02-10"/>
        <s v="2025-12-20"/>
        <s v="2025-02-05"/>
        <s v="2025-04-18"/>
        <s v="2025-02-02"/>
        <s v="2025-06-04"/>
        <s v="2025-04-16"/>
        <s v="2025-07-26"/>
        <s v="2025-05-11"/>
        <s v="2025-07-12"/>
        <s v="2025-08-09"/>
        <s v="2025-09-10"/>
        <s v="2025-04-27"/>
        <s v="2025-08-07"/>
        <s v="2025-04-08"/>
        <s v="2025-06-05"/>
        <s v="2025-11-24"/>
        <s v="2025-06-23"/>
        <s v="2025-10-08"/>
        <s v="2025-11-28"/>
        <s v="2025-06-27"/>
        <s v="2025-11-27"/>
        <s v="2025-08-03"/>
        <s v="2025-12-16"/>
        <s v="2025-05-31"/>
        <s v="2025-04-20"/>
        <s v="2025-03-05"/>
        <s v="2025-07-30"/>
        <s v="2025-01-12"/>
        <s v="2025-11-14"/>
        <s v="2025-01-28"/>
        <s v="2025-06-01"/>
        <s v="2025-12-15"/>
        <s v="2025-08-29"/>
        <s v="2025-04-10"/>
        <s v="2025-09-09"/>
        <s v="2025-02-01"/>
        <s v="2025-10-05"/>
        <s v="2025-06-29"/>
        <s v="2025-02-14"/>
        <s v="2025-04-04"/>
        <s v="2025-04-24"/>
        <s v="2025-05-25"/>
        <s v="2025-10-10"/>
        <s v="2025-07-17"/>
        <s v="2025-04-30"/>
        <s v="2025-05-24"/>
        <s v="2025-03-31"/>
        <s v="2025-05-18"/>
        <s v="2025-01-27"/>
        <s v="2025-10-24"/>
        <s v="2025-10-22"/>
        <s v="2025-05-22"/>
        <s v="2025-02-08"/>
        <s v="2025-10-26"/>
        <s v="2025-05-29"/>
        <s v="2025-06-24"/>
        <s v="2025-03-15"/>
        <s v="2025-09-02"/>
        <s v="2025-10-07"/>
        <s v="2025-10-15"/>
        <s v="2025-06-15"/>
        <s v="2025-07-25"/>
        <s v="2025-12-07"/>
        <s v="2025-07-08"/>
        <s v="2025-07-14"/>
        <s v="2025-09-20"/>
        <s v="2025-01-14"/>
        <s v="2025-06-30"/>
        <s v="2025-11-16"/>
        <s v="2025-07-13"/>
        <s v="2025-07-11"/>
        <s v="2025-02-16"/>
        <s v="2025-11-11"/>
        <s v="2025-08-13"/>
        <s v="2025-10-31"/>
        <s v="2025-06-26"/>
        <s v="2025-05-17"/>
        <s v="2025-12-30"/>
        <s v="2025-08-18"/>
        <s v="2025-10-28"/>
        <s v="2025-07-20"/>
        <s v="2025-05-20"/>
        <s v="2025-06-03"/>
        <s v="2025-07-02"/>
        <s v="2025-11-05"/>
        <s v="2025-07-01"/>
        <s v="2025-11-19"/>
        <s v="2025-01-08"/>
        <s v="2025-06-22"/>
        <s v="2025-02-20"/>
        <s v="2025-01-16"/>
        <s v="2025-08-05"/>
        <s v="2025-11-15"/>
        <s v="2025-08-20"/>
        <s v="2025-09-15"/>
        <s v="2025-07-19"/>
        <s v="2025-08-06"/>
        <s v="2025-01-15"/>
        <s v="2025-04-29"/>
        <s v="2025-06-21"/>
        <s v="2025-04-03"/>
        <s v="2025-09-08"/>
        <s v="2025-06-19"/>
        <s v="2025-03-16"/>
        <s v="2025-03-20"/>
        <s v="2025-02-15"/>
        <s v="2025-05-13"/>
        <s v="2025-05-28"/>
        <s v="2025-02-06"/>
        <s v="2025-08-12"/>
        <s v="2025-06-25"/>
        <s v="2025-03-19"/>
        <s v="2025-12-06"/>
        <s v="2025-05-10"/>
        <s v="2025-11-18"/>
        <s v="2025-10-17"/>
        <s v="2025-03-21"/>
        <s v="2025-04-21"/>
        <s v="2025-06-09"/>
        <s v="2025-07-09"/>
        <s v="2025-05-09"/>
        <s v="2025-11-03"/>
        <s v="2025-03-23"/>
        <s v="2025-06-18"/>
        <s v="2025-06-14"/>
        <s v="2025-09-22"/>
        <s v="2025-08-28"/>
        <s v="2025-03-04"/>
        <s v="2025-08-24"/>
        <s v="2025-09-14"/>
        <s v="2025-03-26"/>
        <s v="2025-12-05"/>
        <s v="2025-04-12"/>
        <s v="2025-08-08"/>
        <s v="2025-01-03"/>
        <s v="2025-08-27"/>
        <s v="2025-11-08"/>
        <s v="2025-12-22"/>
        <s v="2025-08-23"/>
        <s v="2025-02-07"/>
        <s v="2025-11-29"/>
        <s v="2025-02-19"/>
        <s v="2025-10-23"/>
        <s v="2025-07-06"/>
        <s v="2025-09-06"/>
        <s v="2025-01-18"/>
        <s v="2025-06-06"/>
        <s v="2025-07-16"/>
        <s v="2025-09-13"/>
        <s v="2025-02-22"/>
        <s v="2025-03-27"/>
        <s v="2025-12-08"/>
        <s v="2025-04-01"/>
        <s v="2025-06-11"/>
        <s v="2025-04-05"/>
        <s v="2025-12-14"/>
        <s v="2025-03-30"/>
        <s v="2025-08-01"/>
        <s v="2025-05-21"/>
        <s v="2025-08-16"/>
        <s v="2025-03-02"/>
        <s v="2025-02-27"/>
        <s v="2025-09-21"/>
        <s v="2025-10-20"/>
        <s v="2025-01-21"/>
        <s v="2025-12-21"/>
        <s v="2025-12-23"/>
        <s v="2025-06-13"/>
        <s v="2025-04-11"/>
        <s v="2025-09-30"/>
        <s v="2025-08-17"/>
        <s v="2025-03-12"/>
        <s v="2025-11-01"/>
        <s v="2025-01-31"/>
        <s v="2025-08-02"/>
        <s v="2025-01-06"/>
        <s v="2025-05-05"/>
        <s v="2025-01-02"/>
        <s v="2025-03-08"/>
        <s v="2025-01-19"/>
        <s v="2025-08-30"/>
        <s v="2025-03-01"/>
        <s v="2025-07-07"/>
        <s v="2025-09-17"/>
        <s v="2025-09-04"/>
        <s v="2025-04-06"/>
        <s v="2025-01-13"/>
        <s v="2025-02-28"/>
        <s v="2025-12-03"/>
        <s v="2025-05-27"/>
        <s v="2025-11-23"/>
        <s v="2025-12-11"/>
        <s v="2025-01-17"/>
        <s v="2025-09-01"/>
        <s v="2025-01-20"/>
        <s v="2025-01-25"/>
        <s v="2025-09-25"/>
        <s v="2025-01-26"/>
        <s v="2025-06-28"/>
        <s v="2025-01-10"/>
        <s v="2025-03-14"/>
        <s v="2025-10-13"/>
        <s v="2025-10-04"/>
        <s v="2025-03-03"/>
        <s v="2025-05-03"/>
        <s v="2025-05-07"/>
        <s v="2025-08-15"/>
        <s v="2025-12-10"/>
        <s v="2025-08-10"/>
        <s v="2025-06-02"/>
        <s v="2025-10-16"/>
        <s v="2025-12-31"/>
        <s v="2025-03-18"/>
        <s v="2025-07-24"/>
        <s v="2025-07-21"/>
        <s v="2025-10-03"/>
        <s v="2025-09-29"/>
        <s v="2025-04-28"/>
        <s v="2025-11-06"/>
        <s v="2025-08-26"/>
        <s v="2025-06-12"/>
        <s v="2025-05-08"/>
        <s v="2025-05-16"/>
        <s v="2025-10-09"/>
        <s v="2025-07-05"/>
        <s v="2025-01-07"/>
        <s v="2025-05-04"/>
        <s v="2025-02-18"/>
        <s v="2025-09-07"/>
        <s v="2025-04-22"/>
        <s v="2025-11-04"/>
        <s v="2025-10-30"/>
        <s v="2025-07-31"/>
        <s v="2025-07-29"/>
        <s v="2025-12-17"/>
        <s v="2025-09-03"/>
        <s v="2025-09-11"/>
        <s v="2025-02-13"/>
        <s v="2025-12-29"/>
        <s v="2025-10-19"/>
        <s v="2025-08-31"/>
        <s v="2025-06-16"/>
        <s v="2025-09-19"/>
        <s v="2025-03-11"/>
        <s v="2025-09-18"/>
        <s v="2025-03-10"/>
        <s v="2025-08-19"/>
        <s v="2025-10-02"/>
        <s v="2025-08-21"/>
        <s v="2025-05-30"/>
        <s v="2025-05-12"/>
        <s v="2025-07-04"/>
        <s v="2025-11-02"/>
        <s v="2025-04-02"/>
        <s v="2025-04-07"/>
        <s v="2025-05-06"/>
        <s v="2025-10-27"/>
        <s v="2025-03-06"/>
        <s v="2025-12-09"/>
        <s v="2025-10-21"/>
        <s v="2025-08-25"/>
        <s v="2025-02-23"/>
        <s v="2025-06-17"/>
        <s v="2025-07-03"/>
        <s v="2025-02-12"/>
        <s v="2025-10-01"/>
        <s v="2025-02-21"/>
        <s v="2025-09-27"/>
        <s v="2025-02-26"/>
        <s v="2025-12-12"/>
        <s v="2025-01-04"/>
      </sharedItems>
    </cacheField>
    <cacheField name="Time" numFmtId="0">
      <sharedItems count="726">
        <s v="05:07:00"/>
        <s v="12:19:00"/>
        <s v="15:56:00"/>
        <s v="12:27:00"/>
        <s v="01:08:00"/>
        <s v="22:05:00"/>
        <s v="07:25:00"/>
        <s v="12:35:00"/>
        <s v="00:42:00"/>
        <s v="07:29:00"/>
        <s v="07:39:00"/>
        <s v="07:19:00"/>
        <s v="10:37:00"/>
        <s v="15:24:00"/>
        <s v="15:16:00"/>
        <s v="17:56:00"/>
        <s v="08:09:00"/>
        <s v="14:55:00"/>
        <s v="12:09:00"/>
        <s v="01:51:00"/>
        <s v="18:00:00"/>
        <s v="06:03:00"/>
        <s v="03:36:00"/>
        <s v="15:49:00"/>
        <s v="04:32:00"/>
        <s v="01:49:00"/>
        <s v="01:45:00"/>
        <s v="16:49:00"/>
        <s v="23:14:00"/>
        <s v="17:17:00"/>
        <s v="19:55:00"/>
        <s v="07:30:00"/>
        <s v="05:22:00"/>
        <s v="06:18:00"/>
        <s v="23:15:00"/>
        <s v="01:36:00"/>
        <s v="10:49:00"/>
        <s v="09:15:00"/>
        <s v="01:09:00"/>
        <s v="23:40:00"/>
        <s v="21:51:00"/>
        <s v="03:06:00"/>
        <s v="21:43:00"/>
        <s v="01:04:00"/>
        <s v="16:14:00"/>
        <s v="14:12:00"/>
        <s v="10:22:00"/>
        <s v="16:25:00"/>
        <s v="12:16:00"/>
        <s v="23:38:00"/>
        <s v="03:44:00"/>
        <s v="22:45:00"/>
        <s v="09:29:00"/>
        <s v="04:33:00"/>
        <s v="09:27:00"/>
        <s v="02:54:00"/>
        <s v="11:21:00"/>
        <s v="07:21:00"/>
        <s v="08:17:00"/>
        <s v="10:38:00"/>
        <s v="15:41:00"/>
        <s v="11:07:00"/>
        <s v="10:01:00"/>
        <s v="22:04:00"/>
        <s v="00:31:00"/>
        <s v="03:38:00"/>
        <s v="10:59:00"/>
        <s v="15:06:00"/>
        <s v="03:10:00"/>
        <s v="11:25:00"/>
        <s v="07:15:00"/>
        <s v="05:59:00"/>
        <s v="22:09:00"/>
        <s v="08:13:00"/>
        <s v="21:14:00"/>
        <s v="19:03:00"/>
        <s v="02:13:00"/>
        <s v="23:51:00"/>
        <s v="12:05:00"/>
        <s v="00:51:00"/>
        <s v="00:12:00"/>
        <s v="19:24:00"/>
        <s v="16:18:00"/>
        <s v="02:01:00"/>
        <s v="20:56:00"/>
        <s v="05:06:00"/>
        <s v="14:43:00"/>
        <s v="21:47:00"/>
        <s v="01:34:00"/>
        <s v="13:24:00"/>
        <s v="00:53:00"/>
        <s v="14:51:00"/>
        <s v="05:54:00"/>
        <s v="00:34:00"/>
        <s v="00:29:00"/>
        <s v="04:08:00"/>
        <s v="06:21:00"/>
        <s v="04:41:00"/>
        <s v="15:54:00"/>
        <s v="22:12:00"/>
        <s v="22:53:00"/>
        <s v="13:20:00"/>
        <s v="06:24:00"/>
        <s v="06:10:00"/>
        <s v="11:24:00"/>
        <s v="06:15:00"/>
        <s v="06:20:00"/>
        <s v="00:52:00"/>
        <s v="23:31:00"/>
        <s v="00:30:00"/>
        <s v="12:38:00"/>
        <s v="22:15:00"/>
        <s v="02:45:00"/>
        <s v="16:05:00"/>
        <s v="09:24:00"/>
        <s v="14:18:00"/>
        <s v="11:42:00"/>
        <s v="04:56:00"/>
        <s v="08:32:00"/>
        <s v="03:52:00"/>
        <s v="13:00:00"/>
        <s v="16:57:00"/>
        <s v="21:58:00"/>
        <s v="16:24:00"/>
        <s v="05:31:00"/>
        <s v="19:40:00"/>
        <s v="17:58:00"/>
        <s v="13:55:00"/>
        <s v="05:10:00"/>
        <s v="03:50:00"/>
        <s v="10:41:00"/>
        <s v="11:54:00"/>
        <s v="22:31:00"/>
        <s v="05:53:00"/>
        <s v="18:23:00"/>
        <s v="03:45:00"/>
        <s v="16:12:00"/>
        <s v="12:57:00"/>
        <s v="19:38:00"/>
        <s v="16:54:00"/>
        <s v="06:48:00"/>
        <s v="17:25:00"/>
        <s v="09:11:00"/>
        <s v="09:20:00"/>
        <s v="13:14:00"/>
        <s v="20:45:00"/>
        <s v="19:02:00"/>
        <s v="00:38:00"/>
        <s v="16:26:00"/>
        <s v="06:01:00"/>
        <s v="23:20:00"/>
        <s v="12:10:00"/>
        <s v="09:28:00"/>
        <s v="15:50:00"/>
        <s v="21:05:00"/>
        <s v="18:30:00"/>
        <s v="19:50:00"/>
        <s v="18:49:00"/>
        <s v="12:01:00"/>
        <s v="16:15:00"/>
        <s v="11:11:00"/>
        <s v="09:33:00"/>
        <s v="21:04:00"/>
        <s v="14:49:00"/>
        <s v="22:48:00"/>
        <s v="21:25:00"/>
        <s v="21:23:00"/>
        <s v="19:51:00"/>
        <s v="02:03:00"/>
        <s v="22:22:00"/>
        <s v="23:16:00"/>
        <s v="18:42:00"/>
        <s v="20:42:00"/>
        <s v="03:20:00"/>
        <s v="20:33:00"/>
        <s v="10:09:00"/>
        <s v="02:00:00"/>
        <s v="01:27:00"/>
        <s v="07:18:00"/>
        <s v="03:11:00"/>
        <s v="04:49:00"/>
        <s v="18:15:00"/>
        <s v="09:57:00"/>
        <s v="05:28:00"/>
        <s v="10:18:00"/>
        <s v="18:47:00"/>
        <s v="07:56:00"/>
        <s v="06:38:00"/>
        <s v="11:33:00"/>
        <s v="01:22:00"/>
        <s v="02:15:00"/>
        <s v="20:38:00"/>
        <s v="12:20:00"/>
        <s v="05:21:00"/>
        <s v="12:48:00"/>
        <s v="09:52:00"/>
        <s v="17:49:00"/>
        <s v="19:23:00"/>
        <s v="20:43:00"/>
        <s v="13:54:00"/>
        <s v="00:10:00"/>
        <s v="10:56:00"/>
        <s v="02:59:00"/>
        <s v="18:53:00"/>
        <s v="04:07:00"/>
        <s v="09:22:00"/>
        <s v="23:08:00"/>
        <s v="02:32:00"/>
        <s v="22:10:00"/>
        <s v="20:05:00"/>
        <s v="18:44:00"/>
        <s v="03:03:00"/>
        <s v="08:47:00"/>
        <s v="00:55:00"/>
        <s v="14:45:00"/>
        <s v="02:35:00"/>
        <s v="21:26:00"/>
        <s v="03:31:00"/>
        <s v="06:28:00"/>
        <s v="06:02:00"/>
        <s v="13:39:00"/>
        <s v="04:39:00"/>
        <s v="20:11:00"/>
        <s v="15:23:00"/>
        <s v="08:44:00"/>
        <s v="05:42:00"/>
        <s v="20:59:00"/>
        <s v="17:20:00"/>
        <s v="17:48:00"/>
        <s v="00:50:00"/>
        <s v="23:03:00"/>
        <s v="00:07:00"/>
        <s v="13:17:00"/>
        <s v="13:42:00"/>
        <s v="08:55:00"/>
        <s v="12:47:00"/>
        <s v="18:50:00"/>
        <s v="16:16:00"/>
        <s v="14:01:00"/>
        <s v="00:24:00"/>
        <s v="19:28:00"/>
        <s v="16:48:00"/>
        <s v="13:28:00"/>
        <s v="08:01:00"/>
        <s v="14:41:00"/>
        <s v="08:48:00"/>
        <s v="21:36:00"/>
        <s v="03:32:00"/>
        <s v="21:45:00"/>
        <s v="08:43:00"/>
        <s v="12:52:00"/>
        <s v="11:05:00"/>
        <s v="18:46:00"/>
        <s v="18:22:00"/>
        <s v="20:09:00"/>
        <s v="10:30:00"/>
        <s v="07:38:00"/>
        <s v="08:49:00"/>
        <s v="08:06:00"/>
        <s v="00:06:00"/>
        <s v="09:25:00"/>
        <s v="09:44:00"/>
        <s v="08:07:00"/>
        <s v="18:16:00"/>
        <s v="14:31:00"/>
        <s v="03:04:00"/>
        <s v="18:57:00"/>
        <s v="13:38:00"/>
        <s v="13:35:00"/>
        <s v="00:03:00"/>
        <s v="01:06:00"/>
        <s v="18:34:00"/>
        <s v="08:30:00"/>
        <s v="20:34:00"/>
        <s v="03:00:00"/>
        <s v="22:39:00"/>
        <s v="19:39:00"/>
        <s v="18:09:00"/>
        <s v="16:17:00"/>
        <s v="10:48:00"/>
        <s v="09:19:00"/>
        <s v="04:31:00"/>
        <s v="05:52:00"/>
        <s v="18:20:00"/>
        <s v="02:18:00"/>
        <s v="19:14:00"/>
        <s v="01:40:00"/>
        <s v="11:49:00"/>
        <s v="21:37:00"/>
        <s v="07:44:00"/>
        <s v="08:33:00"/>
        <s v="16:01:00"/>
        <s v="06:12:00"/>
        <s v="22:25:00"/>
        <s v="05:26:00"/>
        <s v="02:50:00"/>
        <s v="03:47:00"/>
        <s v="12:49:00"/>
        <s v="21:10:00"/>
        <s v="19:11:00"/>
        <s v="18:51:00"/>
        <s v="15:28:00"/>
        <s v="07:07:00"/>
        <s v="08:31:00"/>
        <s v="09:50:00"/>
        <s v="18:31:00"/>
        <s v="14:08:00"/>
        <s v="06:04:00"/>
        <s v="08:56:00"/>
        <s v="00:19:00"/>
        <s v="20:55:00"/>
        <s v="20:07:00"/>
        <s v="02:25:00"/>
        <s v="12:45:00"/>
        <s v="10:44:00"/>
        <s v="03:07:00"/>
        <s v="07:42:00"/>
        <s v="11:38:00"/>
        <s v="20:39:00"/>
        <s v="06:52:00"/>
        <s v="11:31:00"/>
        <s v="03:40:00"/>
        <s v="06:06:00"/>
        <s v="21:07:00"/>
        <s v="17:29:00"/>
        <s v="01:57:00"/>
        <s v="05:55:00"/>
        <s v="10:45:00"/>
        <s v="21:52:00"/>
        <s v="08:21:00"/>
        <s v="15:45:00"/>
        <s v="23:59:00"/>
        <s v="04:27:00"/>
        <s v="13:30:00"/>
        <s v="22:59:00"/>
        <s v="16:34:00"/>
        <s v="08:23:00"/>
        <s v="10:04:00"/>
        <s v="20:29:00"/>
        <s v="12:15:00"/>
        <s v="21:30:00"/>
        <s v="12:25:00"/>
        <s v="05:23:00"/>
        <s v="18:35:00"/>
        <s v="05:48:00"/>
        <s v="06:47:00"/>
        <s v="05:20:00"/>
        <s v="02:42:00"/>
        <s v="05:25:00"/>
        <s v="02:44:00"/>
        <s v="17:51:00"/>
        <s v="15:18:00"/>
        <s v="17:45:00"/>
        <s v="01:25:00"/>
        <s v="23:54:00"/>
        <s v="07:06:00"/>
        <s v="12:21:00"/>
        <s v="14:40:00"/>
        <s v="05:01:00"/>
        <s v="06:55:00"/>
        <s v="04:44:00"/>
        <s v="22:19:00"/>
        <s v="12:51:00"/>
        <s v="11:20:00"/>
        <s v="18:54:00"/>
        <s v="04:30:00"/>
        <s v="03:33:00"/>
        <s v="22:20:00"/>
        <s v="04:40:00"/>
        <s v="07:17:00"/>
        <s v="00:22:00"/>
        <s v="02:53:00"/>
        <s v="00:09:00"/>
        <s v="23:11:00"/>
        <s v="06:17:00"/>
        <s v="21:24:00"/>
        <s v="22:33:00"/>
        <s v="00:59:00"/>
        <s v="14:11:00"/>
        <s v="20:46:00"/>
        <s v="01:55:00"/>
        <s v="23:30:00"/>
        <s v="23:48:00"/>
        <s v="17:01:00"/>
        <s v="20:52:00"/>
        <s v="05:27:00"/>
        <s v="05:09:00"/>
        <s v="14:52:00"/>
        <s v="22:17:00"/>
        <s v="23:00:00"/>
        <s v="00:25:00"/>
        <s v="18:21:00"/>
        <s v="15:32:00"/>
        <s v="11:03:00"/>
        <s v="06:46:00"/>
        <s v="11:01:00"/>
        <s v="03:43:00"/>
        <s v="09:12:00"/>
        <s v="13:06:00"/>
        <s v="23:56:00"/>
        <s v="07:13:00"/>
        <s v="21:33:00"/>
        <s v="07:49:00"/>
        <s v="11:52:00"/>
        <s v="00:01:00"/>
        <s v="23:46:00"/>
        <s v="20:30:00"/>
        <s v="22:35:00"/>
        <s v="13:26:00"/>
        <s v="12:30:00"/>
        <s v="08:26:00"/>
        <s v="00:28:00"/>
        <s v="19:35:00"/>
        <s v="15:26:00"/>
        <s v="23:13:00"/>
        <s v="15:12:00"/>
        <s v="16:58:00"/>
        <s v="22:03:00"/>
        <s v="02:04:00"/>
        <s v="21:55:00"/>
        <s v="21:32:00"/>
        <s v="03:08:00"/>
        <s v="17:21:00"/>
        <s v="10:23:00"/>
        <s v="12:23:00"/>
        <s v="13:27:00"/>
        <s v="22:13:00"/>
        <s v="14:03:00"/>
        <s v="14:54:00"/>
        <s v="06:35:00"/>
        <s v="10:19:00"/>
        <s v="13:56:00"/>
        <s v="21:48:00"/>
        <s v="17:33:00"/>
        <s v="17:18:00"/>
        <s v="14:33:00"/>
        <s v="10:33:00"/>
        <s v="03:28:00"/>
        <s v="05:49:00"/>
        <s v="17:24:00"/>
        <s v="10:20:00"/>
        <s v="06:54:00"/>
        <s v="05:03:00"/>
        <s v="18:59:00"/>
        <s v="04:21:00"/>
        <s v="12:41:00"/>
        <s v="04:52:00"/>
        <s v="10:02:00"/>
        <s v="21:31:00"/>
        <s v="04:01:00"/>
        <s v="15:40:00"/>
        <s v="11:13:00"/>
        <s v="22:41:00"/>
        <s v="04:17:00"/>
        <s v="22:27:00"/>
        <s v="10:25:00"/>
        <s v="15:22:00"/>
        <s v="01:16:00"/>
        <s v="02:19:00"/>
        <s v="06:14:00"/>
        <s v="08:53:00"/>
        <s v="10:43:00"/>
        <s v="12:43:00"/>
        <s v="13:12:00"/>
        <s v="16:23:00"/>
        <s v="20:24:00"/>
        <s v="06:05:00"/>
        <s v="07:11:00"/>
        <s v="23:36:00"/>
        <s v="13:03:00"/>
        <s v="22:07:00"/>
        <s v="06:27:00"/>
        <s v="10:46:00"/>
        <s v="15:29:00"/>
        <s v="09:53:00"/>
        <s v="13:25:00"/>
        <s v="04:26:00"/>
        <s v="21:20:00"/>
        <s v="16:45:00"/>
        <s v="09:39:00"/>
        <s v="15:42:00"/>
        <s v="04:55:00"/>
        <s v="18:41:00"/>
        <s v="12:56:00"/>
        <s v="10:53:00"/>
        <s v="05:11:00"/>
        <s v="07:08:00"/>
        <s v="07:50:00"/>
        <s v="12:11:00"/>
        <s v="09:18:00"/>
        <s v="10:40:00"/>
        <s v="14:38:00"/>
        <s v="11:29:00"/>
        <s v="05:32:00"/>
        <s v="06:56:00"/>
        <s v="14:20:00"/>
        <s v="15:05:00"/>
        <s v="10:26:00"/>
        <s v="09:06:00"/>
        <s v="15:00:00"/>
        <s v="17:27:00"/>
        <s v="03:26:00"/>
        <s v="16:08:00"/>
        <s v="11:12:00"/>
        <s v="09:34:00"/>
        <s v="18:02:00"/>
        <s v="15:44:00"/>
        <s v="02:26:00"/>
        <s v="06:57:00"/>
        <s v="00:02:00"/>
        <s v="21:13:00"/>
        <s v="22:21:00"/>
        <s v="12:02:00"/>
        <s v="15:03:00"/>
        <s v="11:18:00"/>
        <s v="19:06:00"/>
        <s v="09:02:00"/>
        <s v="13:29:00"/>
        <s v="20:32:00"/>
        <s v="21:18:00"/>
        <s v="06:31:00"/>
        <s v="09:48:00"/>
        <s v="01:53:00"/>
        <s v="21:38:00"/>
        <s v="08:27:00"/>
        <s v="17:22:00"/>
        <s v="15:43:00"/>
        <s v="13:37:00"/>
        <s v="17:11:00"/>
        <s v="03:15:00"/>
        <s v="21:03:00"/>
        <s v="10:05:00"/>
        <s v="10:00:00"/>
        <s v="17:55:00"/>
        <s v="17:43:00"/>
        <s v="23:04:00"/>
        <s v="17:59:00"/>
        <s v="12:00:00"/>
        <s v="19:20:00"/>
        <s v="02:21:00"/>
        <s v="04:12:00"/>
        <s v="07:55:00"/>
        <s v="20:01:00"/>
        <s v="23:34:00"/>
        <s v="13:58:00"/>
        <s v="09:17:00"/>
        <s v="15:20:00"/>
        <s v="16:28:00"/>
        <s v="10:07:00"/>
        <s v="23:49:00"/>
        <s v="17:40:00"/>
        <s v="10:27:00"/>
        <s v="11:19:00"/>
        <s v="19:10:00"/>
        <s v="17:54:00"/>
        <s v="22:00:00"/>
        <s v="17:35:00"/>
        <s v="23:53:00"/>
        <s v="14:35:00"/>
        <s v="14:29:00"/>
        <s v="02:07:00"/>
        <s v="08:38:00"/>
        <s v="13:43:00"/>
        <s v="22:01:00"/>
        <s v="01:24:00"/>
        <s v="13:21:00"/>
        <s v="12:32:00"/>
        <s v="21:15:00"/>
        <s v="22:44:00"/>
        <s v="20:26:00"/>
        <s v="00:15:00"/>
        <s v="11:35:00"/>
        <s v="07:45:00"/>
        <s v="18:56:00"/>
        <s v="00:56:00"/>
        <s v="05:43:00"/>
        <s v="14:48:00"/>
        <s v="00:45:00"/>
        <s v="20:16:00"/>
        <s v="01:20:00"/>
        <s v="17:52:00"/>
        <s v="16:06:00"/>
        <s v="16:46:00"/>
        <s v="20:08:00"/>
        <s v="00:46:00"/>
        <s v="00:04:00"/>
        <s v="09:31:00"/>
        <s v="21:49:00"/>
        <s v="15:13:00"/>
        <s v="06:07:00"/>
        <s v="18:45:00"/>
        <s v="20:10:00"/>
        <s v="07:28:00"/>
        <s v="11:51:00"/>
        <s v="22:58:00"/>
        <s v="09:36:00"/>
        <s v="05:37:00"/>
        <s v="21:19:00"/>
        <s v="20:41:00"/>
        <s v="23:47:00"/>
        <s v="01:58:00"/>
        <s v="14:15:00"/>
        <s v="03:23:00"/>
        <s v="21:59:00"/>
        <s v="09:55:00"/>
        <s v="08:11:00"/>
        <s v="02:43:00"/>
        <s v="07:41:00"/>
        <s v="08:35:00"/>
        <s v="18:36:00"/>
        <s v="00:36:00"/>
        <s v="16:43:00"/>
        <s v="08:00:00"/>
        <s v="08:57:00"/>
        <s v="19:36:00"/>
        <s v="02:48:00"/>
        <s v="17:50:00"/>
        <s v="23:02:00"/>
        <s v="23:27:00"/>
        <s v="17:32:00"/>
        <s v="06:23:00"/>
        <s v="12:22:00"/>
        <s v="06:53:00"/>
        <s v="01:19:00"/>
        <s v="21:28:00"/>
        <s v="19:04:00"/>
        <s v="10:24:00"/>
        <s v="16:47:00"/>
        <s v="04:57:00"/>
        <s v="09:38:00"/>
        <s v="01:17:00"/>
        <s v="06:59:00"/>
        <s v="18:27:00"/>
        <s v="02:17:00"/>
        <s v="08:34:00"/>
        <s v="09:37:00"/>
        <s v="20:49:00"/>
        <s v="12:03:00"/>
        <s v="09:13:00"/>
        <s v="16:52:00"/>
        <s v="04:06:00"/>
        <s v="13:59:00"/>
        <s v="16:39:00"/>
        <s v="04:43:00"/>
        <s v="21:57:00"/>
        <s v="16:22:00"/>
        <s v="06:30:00"/>
        <s v="23:06:00"/>
        <s v="17:16:00"/>
        <s v="09:03:00"/>
        <s v="16:33:00"/>
        <s v="19:49:00"/>
        <s v="04:45:00"/>
        <s v="11:47:00"/>
        <s v="08:58:00"/>
        <s v="19:00:00"/>
        <s v="17:08:00"/>
        <s v="06:58:00"/>
        <s v="17:26:00"/>
        <s v="03:21:00"/>
        <s v="21:44:00"/>
        <s v="00:39:00"/>
        <s v="15:36:00"/>
        <s v="14:44:00"/>
        <s v="02:14:00"/>
        <s v="01:15:00"/>
        <s v="15:31:00"/>
        <s v="08:22:00"/>
        <s v="20:15:00"/>
        <s v="12:46:00"/>
        <s v="05:00:00"/>
        <s v="03:29:00"/>
        <s v="07:48:00"/>
        <s v="01:13:00"/>
        <s v="04:02:00"/>
        <s v="05:57:00"/>
        <s v="15:21:00"/>
        <s v="19:18:00"/>
        <s v="07:57:00"/>
        <s v="05:05:00"/>
        <s v="10:28:00"/>
        <s v="08:05:00"/>
        <s v="22:06:00"/>
        <s v="14:04:00"/>
        <s v="22:34:00"/>
        <s v="18:03:00"/>
        <s v="03:53:00"/>
        <s v="11:16:00"/>
        <s v="18:19:00"/>
        <s v="12:31:00"/>
        <s v="09:43:00"/>
        <s v="06:32:00"/>
        <s v="11:43:00"/>
        <s v="04:23:00"/>
        <s v="19:47:00"/>
        <s v="09:32:00"/>
        <s v="16:13:00"/>
        <s v="15:39:00"/>
        <s v="14:23:00"/>
        <s v="03:34:00"/>
        <s v="05:16:00"/>
        <s v="16:31:00"/>
        <s v="12:42:00"/>
        <s v="07:36:00"/>
        <s v="03:27:00"/>
        <s v="03:39:00"/>
        <s v="13:31:00"/>
        <s v="22:54:00"/>
        <s v="23:17:00"/>
        <s v="09:07:00"/>
        <s v="23:58:00"/>
        <s v="20:50:00"/>
        <s v="03:56:00"/>
        <s v="15:53:00"/>
        <s v="07:33:00"/>
        <s v="21:29:00"/>
        <s v="06:51:00"/>
        <s v="13:10:00"/>
        <s v="23:26:00"/>
        <s v="05:47:00"/>
        <s v="03:01:00"/>
        <s v="19:19:00"/>
        <s v="23:41:00"/>
        <s v="22:56:00"/>
        <s v="23:45:00"/>
        <s v="12:06:00"/>
      </sharedItems>
    </cacheField>
    <cacheField name="Store_Location" numFmtId="0">
      <sharedItems count="5">
        <s v="University"/>
        <s v="Business District"/>
        <s v="Downtown"/>
        <s v="Mall"/>
        <s v="Airport"/>
      </sharedItems>
    </cacheField>
    <cacheField name="Product_Category" numFmtId="0">
      <sharedItems count="4">
        <s v="Cold Drinks"/>
        <s v="Bakery"/>
        <s v="Coffee"/>
        <s v="Tea"/>
      </sharedItems>
    </cacheField>
    <cacheField name="Product_Name" numFmtId="0">
      <sharedItems count="15">
        <s v="Cold Brew"/>
        <s v="Brownie"/>
        <s v="Latte"/>
        <s v="Frappé"/>
        <s v="Cappuccino"/>
        <s v="Espresso"/>
        <s v="Croissant"/>
        <s v="Chai Latte"/>
        <s v="Green Tea"/>
        <s v="Black Tea"/>
        <s v="Bagel"/>
        <s v="Americano"/>
        <s v="Mocha"/>
        <s v="Iced Latte"/>
        <s v="Muffin"/>
      </sharedItems>
    </cacheField>
    <cacheField name="Quantity_Sold" numFmtId="0">
      <sharedItems containsSemiMixedTypes="0" containsString="0" containsNumber="1" containsInteger="1" minValue="0" maxValue="5" count="5">
        <n v="5"/>
        <n v="3"/>
        <n v="1"/>
        <n v="2"/>
        <n v="4"/>
      </sharedItems>
    </cacheField>
    <cacheField name="Unit_Price" numFmtId="0">
      <sharedItems containsSemiMixedTypes="0" containsString="0" containsNumber="1" minValue="0" maxValue="8" count="474">
        <n v="2.9"/>
        <n v="6.26"/>
        <n v="3.9"/>
        <n v="6.22"/>
        <n v="6.84"/>
        <n v="4.56"/>
        <n v="3.12"/>
        <n v="6.08"/>
        <n v="5.17"/>
        <n v="5.71"/>
        <n v="6.44"/>
        <n v="6.34"/>
        <n v="6.12"/>
        <n v="3.17"/>
        <n v="5.16"/>
        <n v="3.53"/>
        <n v="3.85"/>
        <n v="7.43"/>
        <n v="5.51"/>
        <n v="4.44"/>
        <n v="6.57"/>
        <n v="6.61"/>
        <n v="2.97"/>
        <n v="4.21"/>
        <n v="5.69"/>
        <n v="7.1"/>
        <n v="6.9"/>
        <n v="2.84"/>
        <n v="3.95"/>
        <n v="6.76"/>
        <n v="3.69"/>
        <n v="7.85"/>
        <n v="2.91"/>
        <n v="7.36"/>
        <n v="5.7"/>
        <n v="7.95"/>
        <n v="2.66"/>
        <n v="7.03"/>
        <n v="2.76"/>
        <n v="4.27"/>
        <n v="5.85"/>
        <n v="5.43"/>
        <n v="2.62"/>
        <n v="4.17"/>
        <n v="3.93"/>
        <n v="5.46"/>
        <n v="6.58"/>
        <n v="7.93"/>
        <n v="4.84"/>
        <n v="5.94"/>
        <n v="5.35"/>
        <n v="6.28"/>
        <n v="5.09"/>
        <n v="4.4"/>
        <n v="4.01"/>
        <n v="6.48"/>
        <n v="5.12"/>
        <n v="5.19"/>
        <n v="5.32"/>
        <n v="2.75"/>
        <n v="6.81"/>
        <n v="5.58"/>
        <n v="5.68"/>
        <n v="7.32"/>
        <n v="7.68"/>
        <n v="3.96"/>
        <n v="5.42"/>
        <n v="4.77"/>
        <n v="7.05"/>
        <n v="2.86"/>
        <n v="7.13"/>
        <n v="5.54"/>
        <n v="5.27"/>
        <n v="7.14"/>
        <n v="5.05"/>
        <n v="3.88"/>
        <n v="2.6"/>
        <n v="3.57"/>
        <n v="3.67"/>
        <n v="3.49"/>
        <n v="7.19"/>
        <n v="5.53"/>
        <n v="4.14"/>
        <n v="3.13"/>
        <n v="4.82"/>
        <n v="4.48"/>
        <n v="5.64"/>
        <n v="3.55"/>
        <n v="6.98"/>
        <n v="5.18"/>
        <n v="5.49"/>
        <n v="5.81"/>
        <n v="6.62"/>
        <n v="5.3"/>
        <n v="5.41"/>
        <n v="3.66"/>
        <n v="4.54"/>
        <n v="5.29"/>
        <n v="7.49"/>
        <n v="7.62"/>
        <n v="5.28"/>
        <n v="4.2"/>
        <n v="6.29"/>
        <n v="6.03"/>
        <n v="7.38"/>
        <n v="2.61"/>
        <n v="6.35"/>
        <n v="5.99"/>
        <n v="7.86"/>
        <n v="5.5"/>
        <n v="2.85"/>
        <n v="6.55"/>
        <n v="6.66"/>
        <n v="4.33"/>
        <n v="4.34"/>
        <n v="4.74"/>
        <n v="2.87"/>
        <n v="4.28"/>
        <n v="7.4"/>
        <n v="4.42"/>
        <n v="7.7"/>
        <n v="3.33"/>
        <n v="3.58"/>
        <n v="6.23"/>
        <n v="5.6"/>
        <n v="4.72"/>
        <n v="3.01"/>
        <n v="7.24"/>
        <n v="5.72"/>
        <n v="3.6"/>
        <n v="4.45"/>
        <n v="6.53"/>
        <n v="2.78"/>
        <n v="4.1"/>
        <n v="5.34"/>
        <n v="3.84"/>
        <n v="4.51"/>
        <n v="3.22"/>
        <n v="5.48"/>
        <n v="6.06"/>
        <n v="6.65"/>
        <n v="4.9"/>
        <n v="3.78"/>
        <n v="3.74"/>
        <n v="6.47"/>
        <n v="3.23"/>
        <n v="6.13"/>
        <n v="3.46"/>
        <n v="7.65"/>
        <n v="4.13"/>
        <n v="7.92"/>
        <n v="6.54"/>
        <n v="3.37"/>
        <n v="4.65"/>
        <n v="4.92"/>
        <n v="5.63"/>
        <n v="3.4"/>
        <n v="7.73"/>
        <n v="2.72"/>
        <n v="4.23"/>
        <n v="5.11"/>
        <n v="4.87"/>
        <n v="7.27"/>
        <n v="4.06"/>
        <n v="4.53"/>
        <n v="3.82"/>
        <n v="7.23"/>
        <n v="3.61"/>
        <n v="6.36"/>
        <n v="3.24"/>
        <n v="2.67"/>
        <n v="4.41"/>
        <n v="6.89"/>
        <n v="4.75"/>
        <n v="7.2"/>
        <n v="7.99"/>
        <n v="7.8"/>
        <n v="5.74"/>
        <n v="4.93"/>
        <n v="5.65"/>
        <n v="3.63"/>
        <n v="4.63"/>
        <n v="5.75"/>
        <n v="6.8"/>
        <n v="3.59"/>
        <n v="4.79"/>
        <n v="5.76"/>
        <n v="5.55"/>
        <n v="3.34"/>
        <n v="7.3"/>
        <n v="5.93"/>
        <n v="6.67"/>
        <n v="4.02"/>
        <n v="7.94"/>
        <n v="7.5"/>
        <n v="2.99"/>
        <n v="5.38"/>
        <n v="4.81"/>
        <n v="7.12"/>
        <n v="3.92"/>
        <n v="7.02"/>
        <n v="5.25"/>
        <n v="5.47"/>
        <n v="6.43"/>
        <n v="4.26"/>
        <n v="6.75"/>
        <n v="6.33"/>
        <n v="6.18"/>
        <n v="4.18"/>
        <n v="3.1"/>
        <n v="2.92"/>
        <n v="7.37"/>
        <n v="6.24"/>
        <n v="4.89"/>
        <n v="5.37"/>
        <n v="5.89"/>
        <n v="6.41"/>
        <n v="3.06"/>
        <n v="6.07"/>
        <n v="3.26"/>
        <n v="3.89"/>
        <n v="3.29"/>
        <n v="7.79"/>
        <n v="6.05"/>
        <n v="4.19"/>
        <n v="3.56"/>
        <n v="6.86"/>
        <n v="3.11"/>
        <n v="3.15"/>
        <n v="5.61"/>
        <n v="4.97"/>
        <n v="6.78"/>
        <n v="5.33"/>
        <n v="5.56"/>
        <n v="7.58"/>
        <n v="4.24"/>
        <n v="5.23"/>
        <n v="2.68"/>
        <n v="6.49"/>
        <n v="7.84"/>
        <n v="2.53"/>
        <n v="6.11"/>
        <n v="4"/>
        <n v="7.29"/>
        <n v="6.88"/>
        <n v="4.25"/>
        <n v="4.86"/>
        <n v="4.08"/>
        <n v="6.99"/>
        <n v="6.09"/>
        <n v="7.41"/>
        <n v="3.71"/>
        <n v="3.87"/>
        <n v="3.68"/>
        <n v="4.52"/>
        <n v="4.76"/>
        <n v="3.14"/>
        <n v="6.16"/>
        <n v="5.77"/>
        <n v="4.03"/>
        <n v="4.29"/>
        <n v="5.78"/>
        <n v="7.17"/>
        <n v="6.91"/>
        <n v="4.66"/>
        <n v="5.36"/>
        <n v="7.35"/>
        <n v="6.94"/>
        <n v="5.01"/>
        <n v="2.59"/>
        <n v="4.15"/>
        <n v="7.45"/>
        <n v="6.14"/>
        <n v="5.8"/>
        <n v="7.64"/>
        <n v="5.9"/>
        <n v="6.02"/>
        <n v="4.12"/>
        <n v="3.32"/>
        <n v="7.66"/>
        <n v="6.95"/>
        <n v="3.21"/>
        <n v="4.04"/>
        <n v="6.01"/>
        <n v="3.42"/>
        <n v="7.16"/>
        <n v="6.42"/>
        <n v="5.13"/>
        <n v="5.39"/>
        <n v="6.31"/>
        <n v="7.69"/>
        <n v="4.62"/>
        <n v="6.7"/>
        <n v="5.26"/>
        <n v="5.45"/>
        <n v="7.91"/>
        <n v="2.89"/>
        <n v="4.57"/>
        <n v="7.53"/>
        <n v="3.38"/>
        <n v="7.56"/>
        <n v="6"/>
        <n v="3.18"/>
        <n v="6.73"/>
        <n v="4.6"/>
        <n v="3.76"/>
        <n v="7.77"/>
        <n v="3.04"/>
        <n v="6.96"/>
        <n v="3.28"/>
        <n v="4.95"/>
        <n v="4.3"/>
        <n v="5.73"/>
        <n v="7.21"/>
        <n v="5.67"/>
        <n v="7.9"/>
        <n v="5.87"/>
        <n v="4.94"/>
        <n v="6.21"/>
        <n v="3.48"/>
        <n v="4.8"/>
        <n v="2.8"/>
        <n v="2.58"/>
        <n v="3.94"/>
        <n v="3.41"/>
        <n v="5.92"/>
        <n v="6.83"/>
        <n v="4.37"/>
        <n v="5.84"/>
        <n v="6.2"/>
        <n v="6.51"/>
        <n v="7.01"/>
        <n v="6.71"/>
        <n v="5.83"/>
        <n v="4.98"/>
        <n v="7.61"/>
        <n v="3.08"/>
        <n v="5.66"/>
        <n v="7.63"/>
        <n v="6.79"/>
        <n v="4.38"/>
        <n v="5.95"/>
        <n v="6.64"/>
        <n v="4.78"/>
        <n v="2.7"/>
        <n v="6.69"/>
        <n v="5.04"/>
        <n v="3.51"/>
        <n v="5"/>
        <n v="7.48"/>
        <n v="7.07"/>
        <n v="2.77"/>
        <n v="6.45"/>
        <n v="7.71"/>
        <n v="6.39"/>
        <n v="3.64"/>
        <n v="6.15"/>
        <n v="8"/>
        <n v="7.08"/>
        <n v="6.38"/>
        <n v="5.31"/>
        <n v="7.46"/>
        <n v="5.88"/>
        <n v="3.39"/>
        <n v="4.83"/>
        <n v="4.36"/>
        <n v="7.33"/>
        <n v="6.93"/>
        <n v="6.82"/>
        <n v="5.79"/>
        <n v="4.22"/>
        <n v="3.2"/>
        <n v="3.7"/>
        <n v="7.25"/>
        <n v="6.5"/>
        <n v="7.54"/>
        <n v="7.72"/>
        <n v="5.2"/>
        <n v="3.09"/>
        <n v="3.91"/>
        <n v="7.59"/>
        <n v="3.54"/>
        <n v="7.55"/>
        <n v="2.81"/>
        <n v="6.74"/>
        <n v="3.36"/>
        <n v="4.61"/>
        <n v="2.95"/>
        <n v="4.47"/>
        <n v="4.49"/>
        <n v="7.31"/>
        <n v="2.54"/>
        <n v="5.59"/>
        <n v="3.52"/>
        <n v="3.77"/>
        <n v="3.72"/>
        <n v="7.81"/>
        <n v="3.73"/>
        <n v="4.39"/>
        <n v="7.98"/>
        <n v="3.65"/>
        <n v="7.82"/>
        <n v="6.87"/>
        <n v="5.98"/>
        <n v="3.47"/>
        <n v="5.91"/>
        <n v="3.35"/>
        <n v="4.59"/>
        <n v="7.04"/>
        <n v="6.37"/>
        <n v="6.68"/>
        <n v="4.69"/>
        <n v="7.09"/>
        <n v="7.18"/>
        <n v="7.47"/>
        <n v="6.4"/>
        <n v="7.44"/>
        <n v="3.05"/>
        <n v="6.25"/>
        <n v="5.82"/>
        <n v="3.03"/>
        <n v="4.46"/>
        <n v="6.56"/>
        <n v="7.97"/>
        <n v="7.11"/>
        <n v="2.63"/>
        <n v="2.55"/>
        <n v="2.82"/>
        <n v="4.16"/>
        <n v="6.46"/>
        <n v="3.79"/>
        <n v="4.99"/>
        <n v="5.4"/>
        <n v="3.02"/>
        <n v="7.76"/>
        <n v="5.06"/>
        <n v="2.79"/>
        <n v="5.86"/>
        <n v="7.83"/>
        <n v="7.06"/>
        <n v="5.44"/>
        <n v="5.1"/>
        <n v="6.72"/>
        <n v="4.32"/>
        <n v="5.96"/>
        <n v="4.31"/>
        <n v="4.5"/>
        <n v="3.43"/>
        <n v="4.7"/>
        <n v="2.64"/>
        <n v="7.28"/>
        <n v="6.04"/>
        <n v="3"/>
        <n v="2.51"/>
        <n v="7.67"/>
        <n v="2.74"/>
        <n v="3.5"/>
        <n v="2.69"/>
        <n v="7.22"/>
        <n v="5.07"/>
        <n v="7.89"/>
        <n v="4.11"/>
        <n v="4.05"/>
        <n v="6.97"/>
        <n v="7.26"/>
        <n v="4.35"/>
        <n v="6.32"/>
        <n v="7.34"/>
        <n v="3.19"/>
        <n v="7.42"/>
        <n v="3.16"/>
        <n v="3.98"/>
        <n v="6.92"/>
        <n v="3.8"/>
      </sharedItems>
    </cacheField>
    <cacheField name="Sales_Amount" numFmtId="0">
      <sharedItems containsSemiMixedTypes="0" containsString="0" containsNumber="1" minValue="0" maxValue="39.75" count="759">
        <n v="14.5"/>
        <n v="18.78"/>
        <n v="11.7"/>
        <n v="18.66"/>
        <n v="34.2"/>
        <n v="4.56"/>
        <n v="3.12"/>
        <n v="30.4"/>
        <n v="15.51"/>
        <n v="5.71"/>
        <n v="32.2"/>
        <n v="12.68"/>
        <n v="6.12"/>
        <n v="15.85"/>
        <n v="15.48"/>
        <n v="14.12"/>
        <n v="15.4"/>
        <n v="7.43"/>
        <n v="16.53"/>
        <n v="17.76"/>
        <n v="19.71"/>
        <n v="6.61"/>
        <n v="14.85"/>
        <n v="8.42"/>
        <n v="22.76"/>
        <n v="21.3"/>
        <n v="34.5"/>
        <n v="11.36"/>
        <n v="3.95"/>
        <n v="6.76"/>
        <n v="14.76"/>
        <n v="7.85"/>
        <n v="11.64"/>
        <n v="29.44"/>
        <n v="22.8"/>
        <n v="31.8"/>
        <n v="2.66"/>
        <n v="35.15"/>
        <n v="19.02"/>
        <n v="8.28"/>
        <n v="17.08"/>
        <n v="23.4"/>
        <n v="21.72"/>
        <n v="5.24"/>
        <n v="20.85"/>
        <n v="15.8"/>
        <n v="3.93"/>
        <n v="21.84"/>
        <n v="6.58"/>
        <n v="23.79"/>
        <n v="24.2"/>
        <n v="5.94"/>
        <n v="5.35"/>
        <n v="18.84"/>
        <n v="14.72"/>
        <n v="5.09"/>
        <n v="13.2"/>
        <n v="8.02"/>
        <n v="25.92"/>
        <n v="20.48"/>
        <n v="15.57"/>
        <n v="23.76"/>
        <n v="15.96"/>
        <n v="11"/>
        <n v="27.24"/>
        <n v="5.58"/>
        <n v="5.68"/>
        <n v="14.64"/>
        <n v="30.72"/>
        <n v="19.8"/>
        <n v="10.84"/>
        <n v="14.31"/>
        <n v="28.2"/>
        <n v="20.64"/>
        <n v="2.86"/>
        <n v="21.39"/>
        <n v="11.08"/>
        <n v="26.35"/>
        <n v="35.7"/>
        <n v="10.1"/>
        <n v="15.52"/>
        <n v="2.6"/>
        <n v="7.86"/>
        <n v="10.71"/>
        <n v="11.01"/>
        <n v="10.47"/>
        <n v="35.95"/>
        <n v="22.12"/>
        <n v="16.56"/>
        <n v="15.84"/>
        <n v="15.65"/>
        <n v="24.1"/>
        <n v="13.44"/>
        <n v="7.8"/>
        <n v="5.64"/>
        <n v="7.1"/>
        <n v="6.98"/>
        <n v="15.54"/>
        <n v="16.47"/>
        <n v="17.43"/>
        <n v="6.9"/>
        <n v="33.1"/>
        <n v="5.3"/>
        <n v="21.64"/>
        <n v="4.54"/>
        <n v="15.87"/>
        <n v="37.45"/>
        <n v="30.48"/>
        <n v="21.12"/>
        <n v="16.8"/>
        <n v="12.58"/>
        <n v="30.15"/>
        <n v="22.14"/>
        <n v="5.22"/>
        <n v="31.75"/>
        <n v="13.68"/>
        <n v="5.99"/>
        <n v="31.44"/>
        <n v="19.5"/>
        <n v="5.5"/>
        <n v="32.4"/>
        <n v="14.25"/>
        <n v="26.2"/>
        <n v="26.64"/>
        <n v="8.66"/>
        <n v="4.34"/>
        <n v="18.96"/>
        <n v="8.61"/>
        <n v="27.15"/>
        <n v="4.28"/>
        <n v="39.75"/>
        <n v="37"/>
        <n v="17.68"/>
        <n v="38.5"/>
        <n v="10.82"/>
        <n v="16.65"/>
        <n v="29.05"/>
        <n v="10.74"/>
        <n v="6.23"/>
        <n v="14.16"/>
        <n v="6.02"/>
        <n v="7.24"/>
        <n v="28.6"/>
        <n v="18"/>
        <n v="13.35"/>
        <n v="19.59"/>
        <n v="13.9"/>
        <n v="12.3"/>
        <n v="16.02"/>
        <n v="11.52"/>
        <n v="13.53"/>
        <n v="9.66"/>
        <n v="21.92"/>
        <n v="18.18"/>
        <n v="5.72"/>
        <n v="13.3"/>
        <n v="24.5"/>
        <n v="7.56"/>
        <n v="14.96"/>
        <n v="32.35"/>
        <n v="8.7"/>
        <n v="12.92"/>
        <n v="24.52"/>
        <n v="17.3"/>
        <n v="15.3"/>
        <n v="4.13"/>
        <n v="7.92"/>
        <n v="26.16"/>
        <n v="31.15"/>
        <n v="10.11"/>
        <n v="7.65"/>
        <n v="9.3"/>
        <n v="28.15"/>
        <n v="13.6"/>
        <n v="23.19"/>
        <n v="2.72"/>
        <n v="4.23"/>
        <n v="20.44"/>
        <n v="24.35"/>
        <n v="21.81"/>
        <n v="5.43"/>
        <n v="9.68"/>
        <n v="12.18"/>
        <n v="6.57"/>
        <n v="8.96"/>
        <n v="13.59"/>
        <n v="24.88"/>
        <n v="5.44"/>
        <n v="3.82"/>
        <n v="21.69"/>
        <n v="7.22"/>
        <n v="25.44"/>
        <n v="6.48"/>
        <n v="2.67"/>
        <n v="4.41"/>
        <n v="13.96"/>
        <n v="6.89"/>
        <n v="36.35"/>
        <n v="23.75"/>
        <n v="14.4"/>
        <n v="9.8"/>
        <n v="7.99"/>
        <n v="17.22"/>
        <n v="9.72"/>
        <n v="24.65"/>
        <n v="14.98"/>
        <n v="22.6"/>
        <n v="7.26"/>
        <n v="23.15"/>
        <n v="28.75"/>
        <n v="7.18"/>
        <n v="14.37"/>
        <n v="27.9"/>
        <n v="5.55"/>
        <n v="16.7"/>
        <n v="36.5"/>
        <n v="11.86"/>
        <n v="6.67"/>
        <n v="20.1"/>
        <n v="19.05"/>
        <n v="39.7"/>
        <n v="22.5"/>
        <n v="20.52"/>
        <n v="8.97"/>
        <n v="16.14"/>
        <n v="4.81"/>
        <n v="35.6"/>
        <n v="26.68"/>
        <n v="5.8"/>
        <n v="3.92"/>
        <n v="21.06"/>
        <n v="21"/>
        <n v="21.88"/>
        <n v="25.72"/>
        <n v="17.04"/>
        <n v="27"/>
        <n v="17.07"/>
        <n v="9.51"/>
        <n v="26.12"/>
        <n v="10.56"/>
        <n v="12.52"/>
        <n v="18.99"/>
        <n v="17.28"/>
        <n v="11.1"/>
        <n v="4.21"/>
        <n v="6.18"/>
        <n v="16.72"/>
        <n v="14.6"/>
        <n v="29.48"/>
        <n v="7.27"/>
        <n v="12.84"/>
        <n v="6.24"/>
        <n v="19.56"/>
        <n v="16.11"/>
        <n v="4.63"/>
        <n v="21.6"/>
        <n v="5.89"/>
        <n v="6.41"/>
        <n v="9.18"/>
        <n v="24.28"/>
        <n v="9.78"/>
        <n v="15.46"/>
        <n v="7.78"/>
        <n v="9.87"/>
        <n v="23.37"/>
        <n v="30.25"/>
        <n v="10.4"/>
        <n v="20.95"/>
        <n v="3.56"/>
        <n v="20.58"/>
        <n v="6.22"/>
        <n v="12.6"/>
        <n v="19.65"/>
        <n v="3.88"/>
        <n v="28.05"/>
        <n v="9.94"/>
        <n v="6.78"/>
        <n v="21.32"/>
        <n v="27.8"/>
        <n v="18.15"/>
        <n v="7.58"/>
        <n v="12.72"/>
        <n v="10.34"/>
        <n v="5.23"/>
        <n v="10.72"/>
        <n v="25.96"/>
        <n v="7.84"/>
        <n v="10.12"/>
        <n v="30.55"/>
        <n v="20.72"/>
        <n v="4"/>
        <n v="29.16"/>
        <n v="34.4"/>
        <n v="15.9"/>
        <n v="8.5"/>
        <n v="14.58"/>
        <n v="16.32"/>
        <n v="11.48"/>
        <n v="19.75"/>
        <n v="7.95"/>
        <n v="6.99"/>
        <n v="23.24"/>
        <n v="30.45"/>
        <n v="22.23"/>
        <n v="7.42"/>
        <n v="19.35"/>
        <n v="9.04"/>
        <n v="19.04"/>
        <n v="12.56"/>
        <n v="24.36"/>
        <n v="24.64"/>
        <n v="19.1"/>
        <n v="7.29"/>
        <n v="16.26"/>
        <n v="17.31"/>
        <n v="12.09"/>
        <n v="21.45"/>
        <n v="24.12"/>
        <n v="17.34"/>
        <n v="21.51"/>
        <n v="27.64"/>
        <n v="18.64"/>
        <n v="26.8"/>
        <n v="21.65"/>
        <n v="7.35"/>
        <n v="27.76"/>
        <n v="20.04"/>
        <n v="9.84"/>
        <n v="5.18"/>
        <n v="8.3"/>
        <n v="14.9"/>
        <n v="12.28"/>
        <n v="23.2"/>
        <n v="7.17"/>
        <n v="7.64"/>
        <n v="13.34"/>
        <n v="23.6"/>
        <n v="13.8"/>
        <n v="12.04"/>
        <n v="5.41"/>
        <n v="4.12"/>
        <n v="13.28"/>
        <n v="8.48"/>
        <n v="19.48"/>
        <n v="10.48"/>
        <n v="22.98"/>
        <n v="6.95"/>
        <n v="9.63"/>
        <n v="16.16"/>
        <n v="12.98"/>
        <n v="30.05"/>
        <n v="31.65"/>
        <n v="22.88"/>
        <n v="12.57"/>
        <n v="3.42"/>
        <n v="14.22"/>
        <n v="35.8"/>
        <n v="18.39"/>
        <n v="10.26"/>
        <n v="16.17"/>
        <n v="31.55"/>
        <n v="7.69"/>
        <n v="3.15"/>
        <n v="6.62"/>
        <n v="9.24"/>
        <n v="33.5"/>
        <n v="21.04"/>
        <n v="27.25"/>
        <n v="7.91"/>
        <n v="5.78"/>
        <n v="18.24"/>
        <n v="13.71"/>
        <n v="14.84"/>
        <n v="37.65"/>
        <n v="3.38"/>
        <n v="21.28"/>
        <n v="15.12"/>
        <n v="6"/>
        <n v="5.7"/>
        <n v="6.36"/>
        <n v="12.32"/>
        <n v="6.73"/>
        <n v="4.6"/>
        <n v="14.67"/>
        <n v="3.76"/>
        <n v="31.08"/>
        <n v="15.2"/>
        <n v="13"/>
        <n v="6.96"/>
        <n v="6.56"/>
        <n v="11.22"/>
        <n v="5.34"/>
        <n v="14.52"/>
        <n v="4.95"/>
        <n v="15.6"/>
        <n v="12.9"/>
        <n v="5.73"/>
        <n v="5.29"/>
        <n v="31.3"/>
        <n v="14.42"/>
        <n v="28.35"/>
        <n v="7.9"/>
        <n v="29.35"/>
        <n v="19.76"/>
        <n v="6.21"/>
        <n v="24"/>
        <n v="14"/>
        <n v="33.9"/>
        <n v="8.73"/>
        <n v="22.05"/>
        <n v="7.88"/>
        <n v="10.23"/>
        <n v="11.28"/>
        <n v="29.6"/>
        <n v="34.15"/>
        <n v="13.11"/>
        <n v="17.52"/>
        <n v="27.75"/>
        <n v="12.4"/>
        <n v="13.02"/>
        <n v="19.44"/>
        <n v="4.86"/>
        <n v="16.68"/>
        <n v="28.04"/>
        <n v="10.32"/>
        <n v="21.15"/>
        <n v="8.16"/>
        <n v="7.14"/>
        <n v="20.13"/>
        <n v="5.83"/>
        <n v="14.94"/>
        <n v="38.05"/>
        <n v="19.26"/>
        <n v="15.98"/>
        <n v="16.98"/>
        <n v="28.65"/>
        <n v="38.15"/>
        <n v="10.18"/>
        <n v="27.16"/>
        <n v="14.68"/>
        <n v="21.9"/>
        <n v="17.01"/>
        <n v="34.05"/>
        <n v="17.85"/>
        <n v="19.92"/>
        <n v="4.78"/>
        <n v="10.8"/>
        <n v="15.36"/>
        <n v="26.76"/>
        <n v="20.16"/>
        <n v="17.25"/>
        <n v="11.76"/>
        <n v="28"/>
        <n v="9.26"/>
        <n v="10.53"/>
        <n v="27.5"/>
        <n v="10"/>
        <n v="7.48"/>
        <n v="28.28"/>
        <n v="39.5"/>
        <n v="17.1"/>
        <n v="2.77"/>
        <n v="9.32"/>
        <n v="18.21"/>
        <n v="23.13"/>
        <n v="19.17"/>
        <n v="10.92"/>
        <n v="18.2"/>
        <n v="13.38"/>
        <n v="8.76"/>
        <n v="30.7"/>
        <n v="9.39"/>
        <n v="25.9"/>
        <n v="17.4"/>
        <n v="16"/>
        <n v="6.74"/>
        <n v="7.68"/>
        <n v="12.76"/>
        <n v="36.8"/>
        <n v="26.55"/>
        <n v="7.46"/>
        <n v="17.64"/>
        <n v="12.81"/>
        <n v="20.01"/>
        <n v="10.44"/>
        <n v="16.95"/>
        <n v="4.57"/>
        <n v="19.32"/>
        <n v="21.8"/>
        <n v="36.65"/>
        <n v="20.79"/>
        <n v="13.64"/>
        <n v="6.71"/>
        <n v="26.32"/>
        <n v="5.79"/>
        <n v="16.88"/>
        <n v="12.8"/>
        <n v="19.6"/>
        <n v="8.4"/>
        <n v="7.25"/>
        <n v="32.5"/>
        <n v="7.54"/>
        <n v="38.6"/>
        <n v="20.8"/>
        <n v="4.53"/>
        <n v="15.64"/>
        <n v="20.28"/>
        <n v="13.46"/>
        <n v="22.77"/>
        <n v="7.74"/>
        <n v="14.28"/>
        <n v="6.47"/>
        <n v="11.56"/>
        <n v="7.08"/>
        <n v="7.55"/>
        <n v="31.76"/>
        <n v="16.24"/>
        <n v="12.62"/>
        <n v="3.22"/>
        <n v="14.05"/>
        <n v="36.9"/>
        <n v="34.65"/>
        <n v="36.25"/>
        <n v="14.92"/>
        <n v="17.67"/>
        <n v="4.61"/>
        <n v="12.22"/>
        <n v="29.64"/>
        <n v="8.85"/>
        <n v="4.47"/>
        <n v="6.34"/>
        <n v="27.2"/>
        <n v="14.48"/>
        <n v="13.47"/>
        <n v="20.94"/>
        <n v="5.4"/>
        <n v="3.36"/>
        <n v="36.55"/>
        <n v="2.54"/>
        <n v="5.59"/>
        <n v="7.04"/>
        <n v="22.65"/>
        <n v="30.36"/>
        <n v="20.34"/>
        <n v="22.68"/>
        <n v="24.92"/>
        <n v="11.16"/>
        <n v="31.24"/>
        <n v="3.72"/>
        <n v="14.34"/>
        <n v="21.03"/>
        <n v="9.14"/>
        <n v="3.52"/>
        <n v="6.3"/>
        <n v="31.9"/>
        <n v="30.52"/>
        <n v="24.56"/>
        <n v="4.39"/>
        <n v="3.68"/>
        <n v="27.95"/>
        <n v="3.65"/>
        <n v="15.82"/>
        <n v="22.25"/>
        <n v="13.78"/>
        <n v="27.48"/>
        <n v="16.52"/>
        <n v="5.98"/>
        <n v="13.88"/>
        <n v="12.82"/>
        <n v="11.82"/>
        <n v="7.28"/>
        <n v="3.35"/>
        <n v="5.32"/>
        <n v="9.5"/>
        <n v="4.59"/>
        <n v="16.48"/>
        <n v="14.08"/>
        <n v="19.53"/>
        <n v="33.2"/>
        <n v="6.79"/>
        <n v="4.83"/>
        <n v="4.94"/>
        <n v="6.91"/>
        <n v="27.3"/>
        <n v="20.5"/>
        <n v="7.52"/>
        <n v="11.68"/>
        <n v="17.36"/>
        <n v="23.46"/>
        <n v="25.48"/>
        <n v="13.36"/>
        <n v="26.72"/>
        <n v="4.69"/>
        <n v="21.27"/>
        <n v="14.82"/>
        <n v="16.2"/>
        <n v="35.9"/>
        <n v="14.7"/>
        <n v="33.25"/>
        <n v="37.35"/>
        <n v="25.6"/>
        <n v="22.35"/>
        <n v="26.6"/>
        <n v="18.45"/>
        <n v="10.98"/>
        <n v="11.96"/>
        <n v="37.2"/>
        <n v="14.35"/>
        <n v="33.65"/>
        <n v="28.36"/>
        <n v="13.56"/>
        <n v="27.65"/>
        <n v="12.2"/>
        <n v="17.05"/>
        <n v="12.5"/>
        <n v="4.93"/>
        <n v="21.35"/>
        <n v="33.95"/>
        <n v="23.28"/>
        <n v="9.09"/>
        <n v="21.99"/>
        <n v="5.56"/>
        <n v="13.42"/>
        <n v="22.3"/>
        <n v="23.55"/>
        <n v="19.68"/>
        <n v="31.88"/>
        <n v="28.44"/>
        <n v="2.63"/>
        <n v="14.1"/>
        <n v="23.85"/>
        <n v="12.48"/>
        <n v="19.38"/>
        <n v="13.62"/>
        <n v="14.61"/>
        <n v="3.79"/>
        <n v="26.95"/>
        <n v="19.96"/>
        <n v="3.05"/>
        <n v="5.45"/>
        <n v="3.91"/>
        <n v="22.92"/>
        <n v="4.52"/>
        <n v="15.08"/>
        <n v="39.2"/>
        <n v="14.56"/>
        <n v="15.1"/>
        <n v="7.36"/>
        <n v="7.59"/>
        <n v="5.06"/>
        <n v="6.8"/>
        <n v="2.79"/>
        <n v="29.3"/>
        <n v="31.32"/>
        <n v="7.06"/>
        <n v="15.16"/>
        <n v="16.35"/>
        <n v="24.84"/>
        <n v="3.6"/>
        <n v="21.96"/>
        <n v="11.8"/>
        <n v="21.76"/>
        <n v="5.61"/>
        <n v="28.9"/>
        <n v="11.02"/>
        <n v="28.32"/>
        <n v="6.68"/>
        <n v="29.45"/>
        <n v="33.3"/>
        <n v="14.43"/>
        <n v="20.05"/>
        <n v="6.44"/>
        <n v="20.4"/>
        <n v="33.6"/>
        <n v="11.92"/>
        <n v="8.62"/>
        <n v="14.88"/>
        <n v="30.24"/>
        <n v="18.63"/>
        <n v="17.13"/>
        <n v="10.6"/>
        <n v="9"/>
        <n v="13.72"/>
        <n v="8.24"/>
        <n v="9.36"/>
        <n v="26.45"/>
        <n v="13.5"/>
        <n v="28.72"/>
        <n v="4.75"/>
        <n v="11.2"/>
        <n v="26.48"/>
        <n v="29.75"/>
        <n v="27.05"/>
        <n v="24.16"/>
        <n v="22.16"/>
        <n v="32.05"/>
        <n v="28.25"/>
        <n v="20.61"/>
        <n v="4.72"/>
        <n v="14.32"/>
        <n v="11.73"/>
        <n v="5.02"/>
        <n v="23.01"/>
        <n v="18.12"/>
        <n v="10.96"/>
        <n v="7"/>
        <n v="5.38"/>
        <n v="14.62"/>
        <n v="3.17"/>
        <n v="30.84"/>
        <n v="21.93"/>
        <n v="4.3"/>
        <n v="15.21"/>
        <n v="21.54"/>
        <n v="8.43"/>
        <n v="22.2"/>
        <n v="39.45"/>
        <n v="20.55"/>
        <n v="9.62"/>
        <n v="14.44"/>
        <n v="24.45"/>
        <n v="3.7"/>
        <n v="13.94"/>
        <n v="19.08"/>
        <n v="4.62"/>
        <n v="36.3"/>
        <n v="11.04"/>
        <n v="2.53"/>
        <n v="8.78"/>
        <n v="13.05"/>
        <n v="2.55"/>
        <n v="31.6"/>
        <n v="2.74"/>
        <n v="29.36"/>
        <n v="15.95"/>
        <n v="29.68"/>
        <n v="4.74"/>
        <n v="21.48"/>
        <n v="8.9"/>
        <n v="23.3"/>
        <n v="3.37"/>
        <n v="5.05"/>
        <n v="17.96"/>
        <n v="11.94"/>
        <n v="5.28"/>
        <n v="27.7"/>
        <n v="4.98"/>
        <n v="16.92"/>
        <n v="5.2"/>
        <n v="22.38"/>
        <n v="36.7"/>
        <n v="29.52"/>
        <n v="27.12"/>
        <n v="13.84"/>
        <n v="34.3"/>
        <n v="9.54"/>
        <n v="15.42"/>
        <n v="7.81"/>
        <n v="7.23"/>
      </sharedItems>
    </cacheField>
    <cacheField name="Cost" numFmtId="0">
      <sharedItems containsSemiMixedTypes="0" containsString="0" containsNumber="1" minValue="0" maxValue="27.64" count="774">
        <n v="9.95"/>
        <n v="8.85"/>
        <n v="5.45"/>
        <n v="9.61"/>
        <n v="20.83"/>
        <n v="2.61"/>
        <n v="1.97"/>
        <n v="14.12"/>
        <n v="10.26"/>
        <n v="3.23"/>
        <n v="16.34"/>
        <n v="8.33"/>
        <n v="3.73"/>
        <n v="8.82"/>
        <n v="9.91"/>
        <n v="6.98"/>
        <n v="8.23"/>
        <n v="3.76"/>
        <n v="11.08"/>
        <n v="8.59"/>
        <n v="10.65"/>
        <n v="4.32"/>
        <n v="7.92"/>
        <n v="5.63"/>
        <n v="15.23"/>
        <n v="13.09"/>
        <n v="16.05"/>
        <n v="7.42"/>
        <n v="1.98"/>
        <n v="3.82"/>
        <n v="9.55"/>
        <n v="5.25"/>
        <n v="5.35"/>
        <n v="13.59"/>
        <n v="13.28"/>
        <n v="18.95"/>
        <n v="1.83"/>
        <n v="18.24"/>
        <n v="12.69"/>
        <n v="4.86"/>
        <n v="10.69"/>
        <n v="12.99"/>
        <n v="11.87"/>
        <n v="2.99"/>
        <n v="13.6"/>
        <n v="10.19"/>
        <n v="10.04"/>
        <n v="3.33"/>
        <n v="13.16"/>
        <n v="15.88"/>
        <n v="3.66"/>
        <n v="11.14"/>
        <n v="7.3"/>
        <n v="2.53"/>
        <n v="8.43"/>
        <n v="5.13"/>
        <n v="12.96"/>
        <n v="9.63"/>
        <n v="16.02"/>
        <n v="8.61"/>
        <n v="6.76"/>
        <n v="18.17"/>
        <n v="3.71"/>
        <n v="2.62"/>
        <n v="7.39"/>
        <n v="17.79"/>
        <n v="10.55"/>
        <n v="5.97"/>
        <n v="8.86"/>
        <n v="13.77"/>
        <n v="12.53"/>
        <n v="1.67"/>
        <n v="13.34"/>
        <n v="7.74"/>
        <n v="12.06"/>
        <n v="17.34"/>
        <n v="5.46"/>
        <n v="1.37"/>
        <n v="4.2"/>
        <n v="6.96"/>
        <n v="6.8"/>
        <n v="6.23"/>
        <n v="21.79"/>
        <n v="12.3"/>
        <n v="9.66"/>
        <n v="11.04"/>
        <n v="9.92"/>
        <n v="3.99"/>
        <n v="3.36"/>
        <n v="8.77"/>
        <n v="11.16"/>
        <n v="10.02"/>
        <n v="4.51"/>
        <n v="18.88"/>
        <n v="2.51"/>
        <n v="8.93"/>
        <n v="2.59"/>
        <n v="8.38"/>
        <n v="22.33"/>
        <n v="20.25"/>
        <n v="9.73"/>
        <n v="11.23"/>
        <n v="6.39"/>
        <n v="14.06"/>
        <n v="13.38"/>
        <n v="3.56"/>
        <n v="16.7"/>
        <n v="7.29"/>
        <n v="3.12"/>
        <n v="14.59"/>
        <n v="8.75"/>
        <n v="12.03"/>
        <n v="2.94"/>
        <n v="17.84"/>
        <n v="6.44"/>
        <n v="15.78"/>
        <n v="16.57"/>
        <n v="4.07"/>
        <n v="12.67"/>
        <n v="5.15"/>
        <n v="12.97"/>
        <n v="27.46"/>
        <n v="17.22"/>
        <n v="8"/>
        <n v="18.15"/>
        <n v="6.79"/>
        <n v="11.35"/>
        <n v="6.26"/>
        <n v="9.42"/>
        <n v="8.68"/>
        <n v="4.21"/>
        <n v="3.4"/>
        <n v="13.44"/>
        <n v="8.1"/>
        <n v="7.31"/>
        <n v="9.06"/>
        <n v="6.17"/>
        <n v="9.46"/>
        <n v="5.89"/>
        <n v="6.99"/>
        <n v="6.37"/>
        <n v="10.84"/>
        <n v="3.68"/>
        <n v="8.95"/>
        <n v="4.79"/>
        <n v="7.82"/>
        <n v="16.27"/>
        <n v="4.73"/>
        <n v="8.31"/>
        <n v="11.46"/>
        <n v="10.93"/>
        <n v="10.63"/>
        <n v="2.7"/>
        <n v="4.28"/>
        <n v="15.79"/>
        <n v="16.65"/>
        <n v="6.42"/>
        <n v="5.02"/>
        <n v="4.36"/>
        <n v="9.88"/>
        <n v="12.72"/>
        <n v="7.15"/>
        <n v="12.74"/>
        <n v="1.26"/>
        <n v="2.12"/>
        <n v="13.61"/>
        <n v="11.44"/>
        <n v="14.79"/>
        <n v="3.6"/>
        <n v="6.58"/>
        <n v="3.37"/>
        <n v="13.93"/>
        <n v="3.74"/>
        <n v="4.47"/>
        <n v="2.33"/>
        <n v="14.35"/>
        <n v="3.61"/>
        <n v="16.33"/>
        <n v="17.7"/>
        <n v="4.65"/>
        <n v="3.84"/>
        <n v="1.51"/>
        <n v="2.13"/>
        <n v="7.67"/>
        <n v="3.86"/>
        <n v="19.6"/>
        <n v="11.51"/>
        <n v="6.72"/>
        <n v="4.9"/>
        <n v="5.58"/>
        <n v="14.74"/>
        <n v="11.99"/>
        <n v="5.16"/>
        <n v="19.26"/>
        <n v="23.1"/>
        <n v="15.34"/>
        <n v="8.5"/>
        <n v="13.86"/>
        <n v="4.54"/>
        <n v="14.27"/>
        <n v="18.79"/>
        <n v="6.12"/>
        <n v="7.5"/>
        <n v="4.67"/>
        <n v="8.6"/>
        <n v="15.83"/>
        <n v="6.93"/>
        <n v="9.31"/>
        <n v="16.87"/>
        <n v="5.85"/>
        <n v="3.02"/>
        <n v="10.13"/>
        <n v="11.98"/>
        <n v="25.32"/>
        <n v="12.65"/>
        <n v="4.62"/>
        <n v="11.22"/>
        <n v="21.72"/>
        <n v="2.81"/>
        <n v="17.49"/>
        <n v="18.56"/>
        <n v="4.01"/>
        <n v="3.79"/>
        <n v="2.65"/>
        <n v="12.84"/>
        <n v="11.1"/>
        <n v="11.67"/>
        <n v="6.78"/>
        <n v="16.45"/>
        <n v="9.43"/>
        <n v="12.39"/>
        <n v="11.95"/>
        <n v="4.37"/>
        <n v="17.12"/>
        <n v="6.18"/>
        <n v="6.45"/>
        <n v="12.16"/>
        <n v="5.38"/>
        <n v="2.19"/>
        <n v="4.08"/>
        <n v="9.65"/>
        <n v="9.81"/>
        <n v="18.96"/>
        <n v="4.19"/>
        <n v="8.06"/>
        <n v="10.62"/>
        <n v="2.97"/>
        <n v="12.44"/>
        <n v="3.14"/>
        <n v="12.12"/>
        <n v="10.24"/>
        <n v="2.75"/>
        <n v="3.42"/>
        <n v="13"/>
        <n v="12.37"/>
        <n v="4.7"/>
        <n v="7.03"/>
        <n v="6.68"/>
        <n v="13.36"/>
        <n v="18.04"/>
        <n v="4.84"/>
        <n v="9.69"/>
        <n v="1.93"/>
        <n v="13.49"/>
        <n v="3.31"/>
        <n v="8.21"/>
        <n v="8.84"/>
        <n v="4.04"/>
        <n v="1.79"/>
        <n v="9.7"/>
        <n v="18.02"/>
        <n v="6.2"/>
        <n v="4.14"/>
        <n v="10"/>
        <n v="13.41"/>
        <n v="11.74"/>
        <n v="3.03"/>
        <n v="3.43"/>
        <n v="3.09"/>
        <n v="6.46"/>
        <n v="3.24"/>
        <n v="5.78"/>
        <n v="13.27"/>
        <n v="15.15"/>
        <n v="17.21"/>
        <n v="2.43"/>
        <n v="5.99"/>
        <n v="14.82"/>
        <n v="14.04"/>
        <n v="11.4"/>
        <n v="1.9"/>
        <n v="15.18"/>
        <n v="20.17"/>
        <n v="8.26"/>
        <n v="5.56"/>
        <n v="8.3"/>
        <n v="2.52"/>
        <n v="6.91"/>
        <n v="24.15"/>
        <n v="3.67"/>
        <n v="4.41"/>
        <n v="1.64"/>
        <n v="12.48"/>
        <n v="15.43"/>
        <n v="11.42"/>
        <n v="5.18"/>
        <n v="9.85"/>
        <n v="7.01"/>
        <n v="4.72"/>
        <n v="11.76"/>
        <n v="8.01"/>
        <n v="12.63"/>
        <n v="6.21"/>
        <n v="10.22"/>
        <n v="16.19"/>
        <n v="8.72"/>
        <n v="3.78"/>
        <n v="10.17"/>
        <n v="8.55"/>
        <n v="8.14"/>
        <n v="13.56"/>
        <n v="19.24"/>
        <n v="12.27"/>
        <n v="12.43"/>
        <n v="3.94"/>
        <n v="14.99"/>
        <n v="13.85"/>
        <n v="3.06"/>
        <n v="4.69"/>
        <n v="8.66"/>
        <n v="7.52"/>
        <n v="13.58"/>
        <n v="5.01"/>
        <n v="3.7"/>
        <n v="8.88"/>
        <n v="15.02"/>
        <n v="9.11"/>
        <n v="8.42"/>
        <n v="12.54"/>
        <n v="10.46"/>
        <n v="3.16"/>
        <n v="19.45"/>
        <n v="2.36"/>
        <n v="15.97"/>
        <n v="4.82"/>
        <n v="5.06"/>
        <n v="12.86"/>
        <n v="5.26"/>
        <n v="4.52"/>
        <n v="5.59"/>
        <n v="8.56"/>
        <n v="5.86"/>
        <n v="20.86"/>
        <n v="21.76"/>
        <n v="4.61"/>
        <n v="10.64"/>
        <n v="2.03"/>
        <n v="9.21"/>
        <n v="4.27"/>
        <n v="8.18"/>
        <n v="22.55"/>
        <n v="12.32"/>
        <n v="7.14"/>
        <n v="5.62"/>
        <n v="8.69"/>
        <n v="16.17"/>
        <n v="3.83"/>
        <n v="10.9"/>
        <n v="8.48"/>
        <n v="3.89"/>
        <n v="13.48"/>
        <n v="6.24"/>
        <n v="17.93"/>
        <n v="14.05"/>
        <n v="17.57"/>
        <n v="5.11"/>
        <n v="2.72"/>
        <n v="7.36"/>
        <n v="6.88"/>
        <n v="19.27"/>
        <n v="2.15"/>
        <n v="10.43"/>
        <n v="3.75"/>
        <n v="3.45"/>
        <n v="8.09"/>
        <n v="4.09"/>
        <n v="2.88"/>
        <n v="8.73"/>
        <n v="1.7"/>
        <n v="20.06"/>
        <n v="9.37"/>
        <n v="7.55"/>
        <n v="17.66"/>
        <n v="3.53"/>
        <n v="9.22"/>
        <n v="5.68"/>
        <n v="3.04"/>
        <n v="6.54"/>
        <n v="2.96"/>
        <n v="3.49"/>
        <n v="14.76"/>
        <n v="9.04"/>
        <n v="18.27"/>
        <n v="20.3"/>
        <n v="9.45"/>
        <n v="8.4"/>
        <n v="4.58"/>
        <n v="12.05"/>
        <n v="9.08"/>
        <n v="21.05"/>
        <n v="5.5"/>
        <n v="7.32"/>
        <n v="19.7"/>
        <n v="4.94"/>
        <n v="6.35"/>
        <n v="14.71"/>
        <n v="20.2"/>
        <n v="7.54"/>
        <n v="12.14"/>
        <n v="13.64"/>
        <n v="7.65"/>
        <n v="11.82"/>
        <n v="10.18"/>
        <n v="15.14"/>
        <n v="14.24"/>
        <n v="4.78"/>
        <n v="13.94"/>
        <n v="12.93"/>
        <n v="2.68"/>
        <n v="9"/>
        <n v="16.6"/>
        <n v="25.3"/>
        <n v="11.79"/>
        <n v="11.19"/>
        <n v="4.43"/>
        <n v="11.13"/>
        <n v="9.83"/>
        <n v="18.49"/>
        <n v="15.74"/>
        <n v="14.98"/>
        <n v="7.86"/>
        <n v="22.87"/>
        <n v="5.22"/>
        <n v="9.56"/>
        <n v="13.25"/>
        <n v="9.14"/>
        <n v="15.99"/>
        <n v="5.94"/>
        <n v="8.81"/>
        <n v="10.85"/>
        <n v="6.87"/>
        <n v="9.15"/>
        <n v="7.7"/>
        <n v="14.08"/>
        <n v="11.88"/>
        <n v="8.71"/>
        <n v="6.69"/>
        <n v="14.96"/>
        <n v="4.74"/>
        <n v="5.14"/>
        <n v="12.76"/>
        <n v="6.74"/>
        <n v="19.53"/>
        <n v="19.38"/>
        <n v="4.95"/>
        <n v="24.12"/>
        <n v="5.37"/>
        <n v="1.72"/>
        <n v="6.84"/>
        <n v="12.57"/>
        <n v="12.5"/>
        <n v="11.71"/>
        <n v="5.57"/>
        <n v="9.24"/>
        <n v="5.64"/>
        <n v="5.66"/>
        <n v="17.64"/>
        <n v="14.13"/>
        <n v="6.7"/>
        <n v="23.41"/>
        <n v="13.03"/>
        <n v="9.59"/>
        <n v="7.78"/>
        <n v="2.07"/>
        <n v="7.02"/>
        <n v="11.45"/>
        <n v="3.08"/>
        <n v="11.57"/>
        <n v="2.69"/>
        <n v="13.62"/>
        <n v="23.54"/>
        <n v="18.59"/>
        <n v="13.55"/>
        <n v="15.9"/>
        <n v="6.07"/>
        <n v="4.31"/>
        <n v="3.2"/>
        <n v="15.66"/>
        <n v="3.88"/>
        <n v="10.29"/>
        <n v="7.99"/>
        <n v="4.13"/>
        <n v="5.34"/>
        <n v="20.32"/>
        <n v="4.24"/>
        <n v="24.46"/>
        <n v="7.38"/>
        <n v="9.57"/>
        <n v="10.44"/>
        <n v="2.5"/>
        <n v="3.18"/>
        <n v="8.35"/>
        <n v="14.09"/>
        <n v="27.64"/>
        <n v="6.47"/>
        <n v="8.58"/>
        <n v="3.9"/>
        <n v="5.27"/>
        <n v="3.77"/>
        <n v="16.29"/>
        <n v="2.11"/>
        <n v="7.25"/>
        <n v="18.67"/>
        <n v="18.86"/>
        <n v="17.86"/>
        <n v="11.69"/>
        <n v="2.55"/>
        <n v="19.81"/>
        <n v="4.45"/>
        <n v="3.32"/>
        <n v="5.8"/>
        <n v="2.38"/>
        <n v="3.41"/>
        <n v="8.2"/>
        <n v="16.46"/>
        <n v="7.27"/>
        <n v="1.76"/>
        <n v="23.43"/>
        <n v="1.25"/>
        <n v="2.74"/>
        <n v="3.22"/>
        <n v="13.05"/>
        <n v="16.26"/>
        <n v="13.33"/>
        <n v="13.17"/>
        <n v="6.08"/>
        <n v="5.61"/>
        <n v="21.18"/>
        <n v="2.26"/>
        <n v="9.07"/>
        <n v="12.11"/>
        <n v="6.02"/>
        <n v="4.75"/>
        <n v="3.72"/>
        <n v="2.78"/>
        <n v="3.65"/>
        <n v="15.38"/>
        <n v="15.35"/>
        <n v="2.42"/>
        <n v="2.2"/>
        <n v="9.58"/>
        <n v="7.6"/>
        <n v="16.96"/>
        <n v="2.31"/>
        <n v="4.64"/>
        <n v="8.44"/>
        <n v="9.6"/>
        <n v="19.2"/>
        <n v="19.65"/>
        <n v="15.49"/>
        <n v="9.17"/>
        <n v="2.14"/>
        <n v="17.08"/>
        <n v="8.96"/>
        <n v="2.98"/>
        <n v="6.27"/>
        <n v="8.17"/>
        <n v="3.29"/>
        <n v="2.08"/>
        <n v="3.34"/>
        <n v="5.39"/>
        <n v="3.21"/>
        <n v="7.46"/>
        <n v="13.19"/>
        <n v="22.08"/>
        <n v="3.92"/>
        <n v="12.7"/>
        <n v="19.76"/>
        <n v="17.91"/>
        <n v="12.47"/>
        <n v="5.24"/>
        <n v="7.16"/>
        <n v="12.31"/>
        <n v="15.75"/>
        <n v="14.29"/>
        <n v="7.71"/>
        <n v="22.46"/>
        <n v="11.49"/>
        <n v="9.72"/>
        <n v="8.41"/>
        <n v="18.05"/>
        <n v="17.3"/>
        <n v="12.78"/>
        <n v="10.31"/>
        <n v="12.33"/>
        <n v="11.32"/>
        <n v="7.73"/>
        <n v="6.34"/>
        <n v="24.37"/>
        <n v="20.93"/>
        <n v="14.67"/>
        <n v="7.97"/>
        <n v="14.44"/>
        <n v="17.62"/>
        <n v="9.99"/>
        <n v="9.67"/>
        <n v="14.87"/>
        <n v="22.01"/>
        <n v="14.86"/>
        <n v="16.93"/>
        <n v="10.95"/>
        <n v="6.13"/>
        <n v="10.32"/>
        <n v="11.65"/>
        <n v="2.57"/>
        <n v="6.49"/>
        <n v="12.49"/>
        <n v="6.41"/>
        <n v="14.39"/>
        <n v="10.53"/>
        <n v="2.93"/>
        <n v="21.3"/>
        <n v="6.51"/>
        <n v="14.36"/>
        <n v="1.29"/>
        <n v="3.5"/>
        <n v="7.44"/>
        <n v="4.25"/>
        <n v="10.97"/>
        <n v="7.18"/>
        <n v="12.79"/>
        <n v="8.46"/>
        <n v="14.26"/>
        <n v="12.46"/>
        <n v="1.5"/>
        <n v="7"/>
        <n v="2.48"/>
        <n v="1.86"/>
        <n v="5.21"/>
        <n v="13.52"/>
        <n v="2.86"/>
        <n v="9.79"/>
        <n v="8.79"/>
        <n v="24.39"/>
        <n v="7.98"/>
        <n v="9.41"/>
        <n v="3.44"/>
        <n v="2.92"/>
        <n v="4.56"/>
        <n v="3.47"/>
        <n v="15.52"/>
        <n v="1.81"/>
        <n v="20.22"/>
        <n v="18.5"/>
        <n v="4.18"/>
        <n v="6.82"/>
        <n v="5.95"/>
        <n v="10.76"/>
        <n v="12.98"/>
        <n v="1.92"/>
        <n v="12.17"/>
        <n v="18.34"/>
        <n v="10.82"/>
        <n v="11.2"/>
        <n v="15.44"/>
        <n v="19.32"/>
        <n v="19.13"/>
        <n v="17.13"/>
        <n v="11.58"/>
        <n v="5.12"/>
        <n v="3.55"/>
        <n v="8.99"/>
        <n v="20.39"/>
        <n v="13.21"/>
        <n v="10.67"/>
        <n v="7.95"/>
        <n v="4.16"/>
        <n v="8.94"/>
        <n v="10.15"/>
        <n v="18.91"/>
        <n v="8.22"/>
        <n v="5.29"/>
        <n v="5.6"/>
        <n v="5.47"/>
        <n v="17.27"/>
        <n v="8.97"/>
        <n v="18.48"/>
        <n v="17.96"/>
        <n v="6.19"/>
        <n v="10.77"/>
        <n v="5.44"/>
        <n v="8.53"/>
        <n v="7.89"/>
        <n v="17.56"/>
        <n v="20.69"/>
        <n v="9.82"/>
        <n v="15.12"/>
        <n v="3.85"/>
        <n v="16.73"/>
        <n v="11.27"/>
        <n v="7.79"/>
        <n v="15.84"/>
        <n v="19.12"/>
        <n v="6.33"/>
        <n v="3.38"/>
        <n v="10.28"/>
        <n v="14.19"/>
        <n v="8.78"/>
        <n v="12.34"/>
        <n v="12.1"/>
        <n v="7.56"/>
        <n v="9.76"/>
        <n v="3.28"/>
        <n v="8.63"/>
        <n v="23.3"/>
        <n v="21.33"/>
        <n v="12.87"/>
        <n v="2.63"/>
        <n v="6.59"/>
        <n v="4.44"/>
        <n v="10.94"/>
        <n v="3.87"/>
        <n v="26.55"/>
        <n v="10.21"/>
        <n v="5.88"/>
        <n v="7.62"/>
        <n v="6.22"/>
        <n v="12.18"/>
        <n v="11"/>
        <n v="6.71"/>
        <n v="9.84"/>
        <n v="21.22"/>
        <n v="20.18"/>
        <n v="7.13"/>
        <n v="7.34"/>
        <n v="1.58"/>
        <n v="8.07"/>
        <n v="1.2"/>
        <n v="17.24"/>
        <n v="1.61"/>
        <n v="17.76"/>
        <n v="14.57"/>
        <n v="14.63"/>
        <n v="10.89"/>
        <n v="15.69"/>
        <n v="1.74"/>
        <n v="12.19"/>
        <n v="13.98"/>
        <n v="2.64"/>
        <n v="10.56"/>
        <n v="21.14"/>
        <n v="7.8"/>
        <n v="16.32"/>
        <n v="2.25"/>
        <n v="9.23"/>
        <n v="9.29"/>
        <n v="25.04"/>
        <n v="5.43"/>
        <n v="20.26"/>
        <n v="5.51"/>
        <n v="9.98"/>
        <n v="7.37"/>
        <n v="3.57"/>
        <n v="9.9"/>
      </sharedItems>
    </cacheField>
    <cacheField name="Profit" numFmtId="0">
      <sharedItems containsSemiMixedTypes="0" containsString="0" containsNumber="1" minValue="0" maxValue="20.35" count="720">
        <n v="4.55"/>
        <n v="9.93"/>
        <n v="6.25"/>
        <n v="9.05"/>
        <n v="13.37"/>
        <n v="1.95"/>
        <n v="1.15"/>
        <n v="16.28"/>
        <n v="5.25"/>
        <n v="2.48"/>
        <n v="15.86"/>
        <n v="4.35"/>
        <n v="2.39"/>
        <n v="7.03"/>
        <n v="5.57"/>
        <n v="7.14"/>
        <n v="7.17"/>
        <n v="3.67"/>
        <n v="5.45"/>
        <n v="9.17"/>
        <n v="9.06"/>
        <n v="2.29"/>
        <n v="6.93"/>
        <n v="2.79"/>
        <n v="7.53"/>
        <n v="8.21"/>
        <n v="18.45"/>
        <n v="3.94"/>
        <n v="1.97"/>
        <n v="2.94"/>
        <n v="5.21"/>
        <n v="2.6"/>
        <n v="6.29"/>
        <n v="15.85"/>
        <n v="9.52"/>
        <n v="12.85"/>
        <n v="0.83"/>
        <n v="16.91"/>
        <n v="6.33"/>
        <n v="3.42"/>
        <n v="6.39"/>
        <n v="10.41"/>
        <n v="9.85"/>
        <n v="2.25"/>
        <n v="7.25"/>
        <n v="5.61"/>
        <n v="1.96"/>
        <n v="11.8"/>
        <n v="3.25"/>
        <n v="10.63"/>
        <n v="8.32"/>
        <n v="2.61"/>
        <n v="1.69"/>
        <n v="7.7"/>
        <n v="7.42"/>
        <n v="2.56"/>
        <n v="4.77"/>
        <n v="2.89"/>
        <n v="12.96"/>
        <n v="10.85"/>
        <n v="5.94"/>
        <n v="7.74"/>
        <n v="7.35"/>
        <n v="4.24"/>
        <n v="9.07"/>
        <n v="1.87"/>
        <n v="3.06"/>
        <n v="12.93"/>
        <n v="9.25"/>
        <n v="4.87"/>
        <n v="14.43"/>
        <n v="8.11"/>
        <n v="1.19"/>
        <n v="8.05"/>
        <n v="3.34"/>
        <n v="14.29"/>
        <n v="18.36"/>
        <n v="4.64"/>
        <n v="5.48"/>
        <n v="1.23"/>
        <n v="3.66"/>
        <n v="3.75"/>
        <n v="4.21"/>
        <n v="14.16"/>
        <n v="9.82"/>
        <n v="6.9"/>
        <n v="4.8"/>
        <n v="5.73"/>
        <n v="10.33"/>
        <n v="5.11"/>
        <n v="3.81"/>
        <n v="1.82"/>
        <n v="3.74"/>
        <n v="6.77"/>
        <n v="5.31"/>
        <n v="7.41"/>
        <n v="14.22"/>
        <n v="5.71"/>
        <n v="7.49"/>
        <n v="15.12"/>
        <n v="10.23"/>
        <n v="11.39"/>
        <n v="6.19"/>
        <n v="16.09"/>
        <n v="8.76"/>
        <n v="1.66"/>
        <n v="15.05"/>
        <n v="2.87"/>
        <n v="16.85"/>
        <n v="5.56"/>
        <n v="7.47"/>
        <n v="14.56"/>
        <n v="7.81"/>
        <n v="10.42"/>
        <n v="10.07"/>
        <n v="4.59"/>
        <n v="1.75"/>
        <n v="3.46"/>
        <n v="14.18"/>
        <n v="1.29"/>
        <n v="12.29"/>
        <n v="19.78"/>
        <n v="9.68"/>
        <n v="20.35"/>
        <n v="4.03"/>
        <n v="5.3"/>
        <n v="12.35"/>
        <n v="4.48"/>
        <n v="7.38"/>
        <n v="1.81"/>
        <n v="3.84"/>
        <n v="15.16"/>
        <n v="9.9"/>
        <n v="6.04"/>
        <n v="10.53"/>
        <n v="6.13"/>
        <n v="6.56"/>
        <n v="5.63"/>
        <n v="6.54"/>
        <n v="3.29"/>
        <n v="11.08"/>
        <n v="6.15"/>
        <n v="2.04"/>
        <n v="10.44"/>
        <n v="2.77"/>
        <n v="16.08"/>
        <n v="3.97"/>
        <n v="4.61"/>
        <n v="13.06"/>
        <n v="6.37"/>
        <n v="4.67"/>
        <n v="1.43"/>
        <n v="3.64"/>
        <n v="10.37"/>
        <n v="14.5"/>
        <n v="3.69"/>
        <n v="2.63"/>
        <n v="4.94"/>
        <n v="4.88"/>
        <n v="15.43"/>
        <n v="6.45"/>
        <n v="10.45"/>
        <n v="1.46"/>
        <n v="2.11"/>
        <n v="6.83"/>
        <n v="12.91"/>
        <n v="7.02"/>
        <n v="1.83"/>
        <n v="4.66"/>
        <n v="5.6"/>
        <n v="3.2"/>
        <n v="3.07"/>
        <n v="6.28"/>
        <n v="10.95"/>
        <n v="1.7"/>
        <n v="2.43"/>
        <n v="1.49"/>
        <n v="7.34"/>
        <n v="3.61"/>
        <n v="8.19"/>
        <n v="2.57"/>
        <n v="2.64"/>
        <n v="1.16"/>
        <n v="2.28"/>
        <n v="3.03"/>
        <n v="16.75"/>
        <n v="12.24"/>
        <n v="7.68"/>
        <n v="4.9"/>
        <n v="2.41"/>
        <n v="8.66"/>
        <n v="5.23"/>
        <n v="4.56"/>
        <n v="17.74"/>
        <n v="9.31"/>
        <n v="6.48"/>
        <n v="8.74"/>
        <n v="2.72"/>
        <n v="8.88"/>
        <n v="9.96"/>
        <n v="4.96"/>
        <n v="6.1"/>
        <n v="2.51"/>
        <n v="5.77"/>
        <n v="12.07"/>
        <n v="5.4"/>
        <n v="7.39"/>
        <n v="19.63"/>
        <n v="6.01"/>
        <n v="3.65"/>
        <n v="9.97"/>
        <n v="7.07"/>
        <n v="14.38"/>
        <n v="4.92"/>
        <n v="11.38"/>
        <n v="2"/>
        <n v="18.11"/>
        <n v="8.12"/>
        <n v="1.79"/>
        <n v="2.44"/>
        <n v="1.27"/>
        <n v="8.22"/>
        <n v="10.21"/>
        <n v="7.62"/>
        <n v="9.27"/>
        <n v="7.61"/>
        <n v="14.61"/>
        <n v="5.12"/>
        <n v="5.14"/>
        <n v="9"/>
        <n v="4.38"/>
        <n v="6.07"/>
        <n v="8.46"/>
        <n v="5.72"/>
        <n v="2.02"/>
        <n v="2.1"/>
        <n v="3.41"/>
        <n v="4.79"/>
        <n v="10.52"/>
        <n v="3.08"/>
        <n v="4.78"/>
        <n v="6.68"/>
        <n v="3.27"/>
        <n v="7.12"/>
        <n v="9.48"/>
        <n v="11.88"/>
        <n v="3.14"/>
        <n v="2.99"/>
        <n v="3.8"/>
        <n v="8.72"/>
        <n v="11.91"/>
        <n v="5.08"/>
        <n v="8.43"/>
        <n v="3.5"/>
        <n v="3.19"/>
        <n v="10.01"/>
        <n v="12.21"/>
        <n v="11.26"/>
        <n v="1.63"/>
        <n v="7.09"/>
        <n v="2.91"/>
        <n v="4.39"/>
        <n v="10.81"/>
        <n v="2.08"/>
        <n v="2.09"/>
        <n v="5.82"/>
        <n v="10.03"/>
        <n v="11.32"/>
        <n v="14.39"/>
        <n v="6.41"/>
        <n v="1.38"/>
        <n v="4.15"/>
        <n v="1.47"/>
        <n v="3.88"/>
        <n v="1.99"/>
        <n v="12.69"/>
        <n v="14.33"/>
        <n v="4.11"/>
        <n v="4.13"/>
        <n v="15.73"/>
        <n v="7.08"/>
        <n v="9.32"/>
        <n v="13.98"/>
        <n v="14.23"/>
        <n v="7.64"/>
        <n v="7.9"/>
        <n v="8.02"/>
        <n v="2.98"/>
        <n v="4.57"/>
        <n v="8.24"/>
        <n v="4.28"/>
        <n v="2.58"/>
        <n v="1.22"/>
        <n v="10.76"/>
        <n v="15.02"/>
        <n v="2.24"/>
        <n v="9.5"/>
        <n v="7.71"/>
        <n v="4.32"/>
        <n v="7.28"/>
        <n v="11.73"/>
        <n v="5.89"/>
        <n v="8.45"/>
        <n v="10.38"/>
        <n v="3.51"/>
        <n v="6.09"/>
        <n v="3.95"/>
        <n v="10.56"/>
        <n v="8.51"/>
        <n v="8.4"/>
        <n v="13.64"/>
        <n v="9.22"/>
        <n v="12.77"/>
        <n v="4.82"/>
        <n v="2.12"/>
        <n v="9.54"/>
        <n v="6.24"/>
        <n v="4.76"/>
        <n v="9.62"/>
        <n v="2.16"/>
        <n v="4.46"/>
        <n v="8.58"/>
        <n v="4.69"/>
        <n v="3.62"/>
        <n v="11.96"/>
        <n v="5.5"/>
        <n v="11.7"/>
        <n v="1.76"/>
        <n v="10.71"/>
        <n v="5.76"/>
        <n v="7.36"/>
        <n v="5.42"/>
        <n v="10.12"/>
        <n v="4.04"/>
        <n v="7.6"/>
        <n v="9.19"/>
        <n v="9.89"/>
        <n v="1.39"/>
        <n v="2.21"/>
        <n v="13.25"/>
        <n v="5.7"/>
        <n v="7.48"/>
        <n v="15.38"/>
        <n v="3.86"/>
        <n v="5.8"/>
        <n v="1.02"/>
        <n v="2.73"/>
        <n v="10.88"/>
        <n v="3"/>
        <n v="15.57"/>
        <n v="6.99"/>
        <n v="2.8"/>
        <n v="6.35"/>
        <n v="7.96"/>
        <n v="18.38"/>
        <n v="2.5"/>
        <n v="4.23"/>
        <n v="1.72"/>
        <n v="2.06"/>
        <n v="11.02"/>
        <n v="5.83"/>
        <n v="9.02"/>
        <n v="3.22"/>
        <n v="4.06"/>
        <n v="5.54"/>
        <n v="2.3"/>
        <n v="7.98"/>
        <n v="2.2"/>
        <n v="7.59"/>
        <n v="1.8"/>
        <n v="16.54"/>
        <n v="5.38"/>
        <n v="10.08"/>
        <n v="4.17"/>
        <n v="10.31"/>
        <n v="4.44"/>
        <n v="2.53"/>
        <n v="2.38"/>
        <n v="11.95"/>
        <n v="3.23"/>
        <n v="5.58"/>
        <n v="9.46"/>
        <n v="11.41"/>
        <n v="5.29"/>
        <n v="4.93"/>
        <n v="14.89"/>
        <n v="13.95"/>
        <n v="14.11"/>
        <n v="6.16"/>
        <n v="5.37"/>
        <n v="1.62"/>
        <n v="6.5"/>
        <n v="12.9"/>
        <n v="6.91"/>
        <n v="3.38"/>
        <n v="7.2"/>
        <n v="3.15"/>
        <n v="14.95"/>
        <n v="12.75"/>
        <n v="7.05"/>
        <n v="4.81"/>
        <n v="4.85"/>
        <n v="7.15"/>
        <n v="10.16"/>
        <n v="12.31"/>
        <n v="4.54"/>
        <n v="15.28"/>
        <n v="5.99"/>
        <n v="6.61"/>
        <n v="14.63"/>
        <n v="5.22"/>
        <n v="6.34"/>
        <n v="8.65"/>
        <n v="7.87"/>
        <n v="18.06"/>
        <n v="6.46"/>
        <n v="9.04"/>
        <n v="3.93"/>
        <n v="6.85"/>
        <n v="10.29"/>
        <n v="7.66"/>
        <n v="12.68"/>
        <n v="8.28"/>
        <n v="8.54"/>
        <n v="5.07"/>
        <n v="13.04"/>
        <n v="4.52"/>
        <n v="5.39"/>
        <n v="14.74"/>
        <n v="3.26"/>
        <n v="8.75"/>
        <n v="20.12"/>
        <n v="8.06"/>
        <n v="15.63"/>
        <n v="3.59"/>
        <n v="1.05"/>
        <n v="2.9"/>
        <n v="5.69"/>
        <n v="6.06"/>
        <n v="5.64"/>
        <n v="7.46"/>
        <n v="5.35"/>
        <n v="7.94"/>
        <n v="4.14"/>
        <n v="6.66"/>
        <n v="3.1"/>
        <n v="2.93"/>
        <n v="11.77"/>
        <n v="5.86"/>
        <n v="2.13"/>
        <n v="4.08"/>
        <n v="13.39"/>
        <n v="13.52"/>
        <n v="5.03"/>
        <n v="1.08"/>
        <n v="6.4"/>
        <n v="7.75"/>
        <n v="2.81"/>
        <n v="8.18"/>
        <n v="13.11"/>
        <n v="17.91"/>
        <n v="7.24"/>
        <n v="8.1"/>
        <n v="6.65"/>
        <n v="10.66"/>
        <n v="1.91"/>
        <n v="6.59"/>
        <n v="9.69"/>
        <n v="4.27"/>
        <n v="2.71"/>
        <n v="12.18"/>
        <n v="3.3"/>
        <n v="14.14"/>
        <n v="5.19"/>
        <n v="11.23"/>
        <n v="9.16"/>
        <n v="2.03"/>
        <n v="7.29"/>
        <n v="3.73"/>
        <n v="12.06"/>
        <n v="7.54"/>
        <n v="2.68"/>
        <n v="4.43"/>
        <n v="6.36"/>
        <n v="4.22"/>
        <n v="4.26"/>
        <n v="3.18"/>
        <n v="4.01"/>
        <n v="15.47"/>
        <n v="5.1"/>
        <n v="1.11"/>
        <n v="8.35"/>
        <n v="18.23"/>
        <n v="15.79"/>
        <n v="4.4"/>
        <n v="18.39"/>
        <n v="5.98"/>
        <n v="9.83"/>
        <n v="3.35"/>
        <n v="3.05"/>
        <n v="6.08"/>
        <n v="10.74"/>
        <n v="7.21"/>
        <n v="6.86"/>
        <n v="1.6"/>
        <n v="13.12"/>
        <n v="2.85"/>
        <n v="3.82"/>
        <n v="9.6"/>
        <n v="14.1"/>
        <n v="7.01"/>
        <n v="9.51"/>
        <n v="10.8"/>
        <n v="5.62"/>
        <n v="2.92"/>
        <n v="5.55"/>
        <n v="10.06"/>
        <n v="5.27"/>
        <n v="8.92"/>
        <n v="3.12"/>
        <n v="1.09"/>
        <n v="2.65"/>
        <n v="16.52"/>
        <n v="15.17"/>
        <n v="9.33"/>
        <n v="1.48"/>
        <n v="6.02"/>
        <n v="8.36"/>
        <n v="19.29"/>
        <n v="8.5"/>
        <n v="1.34"/>
        <n v="9.81"/>
        <n v="4.18"/>
        <n v="8.8"/>
        <n v="6.47"/>
        <n v="1.54"/>
        <n v="10.4"/>
        <n v="7.56"/>
        <n v="6.55"/>
        <n v="3.99"/>
        <n v="1.98"/>
        <n v="8.96"/>
        <n v="6.62"/>
        <n v="11.12"/>
        <n v="8.3"/>
        <n v="1.3"/>
        <n v="11.99"/>
        <n v="1.58"/>
        <n v="9.39"/>
        <n v="8.03"/>
        <n v="9.36"/>
        <n v="11.15"/>
        <n v="10.77"/>
        <n v="4.65"/>
        <n v="10.97"/>
        <n v="6.98"/>
        <n v="7.11"/>
        <n v="5.51"/>
        <n v="10.75"/>
        <n v="13.44"/>
        <n v="8.44"/>
        <n v="6.51"/>
        <n v="4.98"/>
        <n v="6.89"/>
        <n v="15.2"/>
        <n v="20.05"/>
        <n v="12.82"/>
        <n v="12.04"/>
        <n v="6.82"/>
        <n v="14.27"/>
        <n v="7.13"/>
        <n v="12.83"/>
        <n v="12.72"/>
        <n v="13.69"/>
        <n v="5.59"/>
        <n v="5.18"/>
        <n v="7.72"/>
        <n v="7.06"/>
        <n v="1.85"/>
        <n v="9.29"/>
        <n v="11.94"/>
        <n v="8.42"/>
        <n v="8.97"/>
        <n v="14.62"/>
        <n v="11.28"/>
        <n v="5.75"/>
        <n v="2.96"/>
        <n v="11.4"/>
        <n v="10.34"/>
        <n v="9.15"/>
        <n v="10.58"/>
        <n v="3.36"/>
        <n v="14.08"/>
        <n v="3.7"/>
        <n v="12.88"/>
        <n v="7.52"/>
        <n v="5.16"/>
        <n v="1.24"/>
        <n v="10.49"/>
        <n v="7.5"/>
        <n v="1.55"/>
        <n v="2.97"/>
        <n v="2.05"/>
        <n v="5.53"/>
        <n v="9.4"/>
        <n v="3.53"/>
        <n v="15.24"/>
        <n v="5.49"/>
        <n v="14.81"/>
        <n v="3.54"/>
        <n v="9.37"/>
        <n v="7.22"/>
        <n v="2.14"/>
        <n v="2.66"/>
        <n v="3.33"/>
        <n v="7.76"/>
        <n v="0.98"/>
        <n v="9.08"/>
        <n v="2.4"/>
        <n v="6.38"/>
        <n v="11.86"/>
        <n v="1.68"/>
        <n v="9.79"/>
        <n v="9.14"/>
        <n v="10.9"/>
        <n v="3.6"/>
        <n v="13.46"/>
        <n v="6.26"/>
        <n v="3.56"/>
        <n v="2.32"/>
        <n v="10.32"/>
        <n v="16.17"/>
        <n v="2.82"/>
        <n v="2.46"/>
        <n v="7.19"/>
        <n v="17.61"/>
        <n v="4.73"/>
        <n v="11.33"/>
        <n v="8.91"/>
        <n v="3.4"/>
        <n v="6.12"/>
        <n v="3.77"/>
        <n v="2.95"/>
        <n v="5.33"/>
        <n v="5.09"/>
        <n v="9.18"/>
        <n v="4.53"/>
        <n v="10.24"/>
        <n v="8.39"/>
        <n v="2.47"/>
        <n v="3.11"/>
        <n v="4.2"/>
        <n v="2.36"/>
        <n v="6.67"/>
        <n v="13.84"/>
        <n v="2.15"/>
        <n v="13.32"/>
        <n v="10.89"/>
        <n v="16.21"/>
        <n v="9.13"/>
        <n v="7.18"/>
        <n v="1.64"/>
        <n v="8.16"/>
        <n v="10.67"/>
        <n v="3.17"/>
        <n v="8.78"/>
        <n v="20.33"/>
        <n v="12.3"/>
        <n v="1.45"/>
        <n v="8.68"/>
        <n v="8.01"/>
        <n v="2.78"/>
        <n v="7.95"/>
        <n v="6.71"/>
        <n v="10.6"/>
        <n v="11.07"/>
        <n v="3.63"/>
        <n v="6.05"/>
        <n v="12.27"/>
        <n v="2.75"/>
        <n v="5.2"/>
        <n v="1.77"/>
        <n v="7.23"/>
        <n v="9.24"/>
        <n v="1.53"/>
        <n v="7.1"/>
        <n v="16.12"/>
        <n v="3.91"/>
        <n v="6.76"/>
        <n v="0.95"/>
        <n v="4.62"/>
        <n v="1.35"/>
        <n v="14.36"/>
        <n v="1.13"/>
        <n v="11.6"/>
        <n v="15.13"/>
        <n v="15.11"/>
        <n v="2.22"/>
        <n v="4.91"/>
        <n v="10.3"/>
        <n v="7.73"/>
        <n v="5.9"/>
        <n v="2.42"/>
        <n v="8.2"/>
        <n v="10.59"/>
        <n v="9.87"/>
        <n v="2.67"/>
        <n v="7.69"/>
        <n v="1.67"/>
        <n v="11.34"/>
        <n v="5.41"/>
        <n v="11.66"/>
        <n v="15.44"/>
        <n v="2.37"/>
        <n v="14.04"/>
        <n v="11"/>
        <n v="5.44"/>
        <n v="6.57"/>
        <n v="4.5"/>
        <n v="3.31"/>
      </sharedItems>
    </cacheField>
    <cacheField name="Payment_Method" numFmtId="0">
      <sharedItems count="4">
        <s v="Cash"/>
        <s v="Mobile Wallet"/>
        <s v="UPI"/>
        <s v="Credit Card"/>
      </sharedItems>
    </cacheField>
    <cacheField name="Customer_Type" numFmtId="0">
      <sharedItems count="3">
        <s v="Returning"/>
        <s v="Member"/>
        <s v="New"/>
      </sharedItems>
    </cacheField>
    <cacheField name="Employee_ID" numFmtId="0">
      <sharedItems count="100">
        <s v="E172"/>
        <s v="E191"/>
        <s v="E127"/>
        <s v="E107"/>
        <s v="E159"/>
        <s v="E123"/>
        <s v="E132"/>
        <s v="E100"/>
        <s v="E153"/>
        <s v="E136"/>
        <s v="E185"/>
        <s v="E109"/>
        <s v="E190"/>
        <s v="E110"/>
        <s v="E157"/>
        <s v="E175"/>
        <s v="E128"/>
        <s v="E197"/>
        <s v="E151"/>
        <s v="E195"/>
        <s v="E148"/>
        <s v="E103"/>
        <s v="E152"/>
        <s v="E137"/>
        <s v="E119"/>
        <s v="E134"/>
        <s v="E154"/>
        <s v="E126"/>
        <s v="E171"/>
        <s v="E131"/>
        <s v="E115"/>
        <s v="E140"/>
        <s v="E149"/>
        <s v="E156"/>
        <s v="E192"/>
        <s v="E102"/>
        <s v="E164"/>
        <s v="E104"/>
        <s v="E135"/>
        <s v="E178"/>
        <s v="E133"/>
        <s v="E196"/>
        <s v="E173"/>
        <s v="E176"/>
        <s v="E142"/>
        <s v="E161"/>
        <s v="E162"/>
        <s v="E169"/>
        <s v="E138"/>
        <s v="E106"/>
        <s v="E141"/>
        <s v="E112"/>
        <s v="E111"/>
        <s v="E125"/>
        <s v="E180"/>
        <s v="E158"/>
        <s v="E194"/>
        <s v="E120"/>
        <s v="E163"/>
        <s v="E130"/>
        <s v="E146"/>
        <s v="E183"/>
        <s v="E121"/>
        <s v="E160"/>
        <s v="E186"/>
        <s v="E124"/>
        <s v="E144"/>
        <s v="E187"/>
        <s v="E168"/>
        <s v="E108"/>
        <s v="E105"/>
        <s v="E143"/>
        <s v="E166"/>
        <s v="E179"/>
        <s v="E170"/>
        <s v="E188"/>
        <s v="E155"/>
        <s v="E177"/>
        <s v="E182"/>
        <s v="E129"/>
        <s v="E189"/>
        <s v="E150"/>
        <s v="E117"/>
        <s v="E198"/>
        <s v="E165"/>
        <s v="E145"/>
        <s v="E114"/>
        <s v="E193"/>
        <s v="E184"/>
        <s v="E116"/>
        <s v="E181"/>
        <s v="E199"/>
        <s v="E101"/>
        <s v="E174"/>
        <s v="E118"/>
        <s v="E147"/>
        <s v="E113"/>
        <s v="E122"/>
        <s v="E139"/>
        <s v="E167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0"/>
    <x v="1"/>
    <x v="1"/>
  </r>
  <r>
    <x v="2"/>
    <x v="2"/>
    <x v="2"/>
    <x v="0"/>
    <x v="2"/>
    <x v="2"/>
    <x v="1"/>
    <x v="2"/>
    <x v="2"/>
    <x v="2"/>
    <x v="2"/>
    <x v="1"/>
    <x v="0"/>
    <x v="2"/>
  </r>
  <r>
    <x v="3"/>
    <x v="3"/>
    <x v="3"/>
    <x v="0"/>
    <x v="0"/>
    <x v="3"/>
    <x v="1"/>
    <x v="3"/>
    <x v="3"/>
    <x v="3"/>
    <x v="3"/>
    <x v="0"/>
    <x v="0"/>
    <x v="3"/>
  </r>
  <r>
    <x v="4"/>
    <x v="4"/>
    <x v="4"/>
    <x v="2"/>
    <x v="2"/>
    <x v="4"/>
    <x v="0"/>
    <x v="4"/>
    <x v="4"/>
    <x v="4"/>
    <x v="4"/>
    <x v="1"/>
    <x v="1"/>
    <x v="4"/>
  </r>
  <r>
    <x v="5"/>
    <x v="5"/>
    <x v="5"/>
    <x v="3"/>
    <x v="2"/>
    <x v="4"/>
    <x v="2"/>
    <x v="5"/>
    <x v="5"/>
    <x v="5"/>
    <x v="5"/>
    <x v="2"/>
    <x v="2"/>
    <x v="5"/>
  </r>
  <r>
    <x v="6"/>
    <x v="6"/>
    <x v="6"/>
    <x v="0"/>
    <x v="2"/>
    <x v="5"/>
    <x v="2"/>
    <x v="6"/>
    <x v="6"/>
    <x v="6"/>
    <x v="6"/>
    <x v="3"/>
    <x v="0"/>
    <x v="6"/>
  </r>
  <r>
    <x v="7"/>
    <x v="7"/>
    <x v="7"/>
    <x v="3"/>
    <x v="0"/>
    <x v="0"/>
    <x v="0"/>
    <x v="7"/>
    <x v="7"/>
    <x v="7"/>
    <x v="7"/>
    <x v="0"/>
    <x v="0"/>
    <x v="7"/>
  </r>
  <r>
    <x v="8"/>
    <x v="8"/>
    <x v="8"/>
    <x v="4"/>
    <x v="1"/>
    <x v="6"/>
    <x v="1"/>
    <x v="8"/>
    <x v="8"/>
    <x v="8"/>
    <x v="8"/>
    <x v="0"/>
    <x v="1"/>
    <x v="1"/>
  </r>
  <r>
    <x v="9"/>
    <x v="9"/>
    <x v="9"/>
    <x v="3"/>
    <x v="3"/>
    <x v="7"/>
    <x v="2"/>
    <x v="9"/>
    <x v="9"/>
    <x v="9"/>
    <x v="9"/>
    <x v="1"/>
    <x v="1"/>
    <x v="4"/>
  </r>
  <r>
    <x v="10"/>
    <x v="10"/>
    <x v="10"/>
    <x v="1"/>
    <x v="2"/>
    <x v="5"/>
    <x v="0"/>
    <x v="10"/>
    <x v="10"/>
    <x v="10"/>
    <x v="10"/>
    <x v="1"/>
    <x v="2"/>
    <x v="8"/>
  </r>
  <r>
    <x v="11"/>
    <x v="11"/>
    <x v="11"/>
    <x v="1"/>
    <x v="3"/>
    <x v="8"/>
    <x v="3"/>
    <x v="11"/>
    <x v="11"/>
    <x v="11"/>
    <x v="11"/>
    <x v="2"/>
    <x v="1"/>
    <x v="9"/>
  </r>
  <r>
    <x v="12"/>
    <x v="12"/>
    <x v="12"/>
    <x v="4"/>
    <x v="0"/>
    <x v="3"/>
    <x v="2"/>
    <x v="12"/>
    <x v="12"/>
    <x v="12"/>
    <x v="12"/>
    <x v="2"/>
    <x v="0"/>
    <x v="10"/>
  </r>
  <r>
    <x v="13"/>
    <x v="13"/>
    <x v="13"/>
    <x v="2"/>
    <x v="3"/>
    <x v="9"/>
    <x v="0"/>
    <x v="13"/>
    <x v="13"/>
    <x v="13"/>
    <x v="13"/>
    <x v="1"/>
    <x v="0"/>
    <x v="11"/>
  </r>
  <r>
    <x v="14"/>
    <x v="14"/>
    <x v="14"/>
    <x v="3"/>
    <x v="2"/>
    <x v="5"/>
    <x v="1"/>
    <x v="14"/>
    <x v="14"/>
    <x v="14"/>
    <x v="14"/>
    <x v="2"/>
    <x v="1"/>
    <x v="12"/>
  </r>
  <r>
    <x v="15"/>
    <x v="15"/>
    <x v="15"/>
    <x v="3"/>
    <x v="2"/>
    <x v="2"/>
    <x v="4"/>
    <x v="15"/>
    <x v="15"/>
    <x v="15"/>
    <x v="15"/>
    <x v="2"/>
    <x v="0"/>
    <x v="13"/>
  </r>
  <r>
    <x v="16"/>
    <x v="16"/>
    <x v="16"/>
    <x v="2"/>
    <x v="0"/>
    <x v="0"/>
    <x v="4"/>
    <x v="16"/>
    <x v="16"/>
    <x v="16"/>
    <x v="16"/>
    <x v="3"/>
    <x v="2"/>
    <x v="14"/>
  </r>
  <r>
    <x v="17"/>
    <x v="17"/>
    <x v="17"/>
    <x v="1"/>
    <x v="2"/>
    <x v="4"/>
    <x v="2"/>
    <x v="17"/>
    <x v="17"/>
    <x v="17"/>
    <x v="17"/>
    <x v="3"/>
    <x v="2"/>
    <x v="10"/>
  </r>
  <r>
    <x v="18"/>
    <x v="4"/>
    <x v="18"/>
    <x v="4"/>
    <x v="0"/>
    <x v="3"/>
    <x v="1"/>
    <x v="18"/>
    <x v="18"/>
    <x v="18"/>
    <x v="18"/>
    <x v="2"/>
    <x v="0"/>
    <x v="15"/>
  </r>
  <r>
    <x v="19"/>
    <x v="18"/>
    <x v="3"/>
    <x v="4"/>
    <x v="2"/>
    <x v="5"/>
    <x v="4"/>
    <x v="19"/>
    <x v="19"/>
    <x v="19"/>
    <x v="19"/>
    <x v="3"/>
    <x v="1"/>
    <x v="16"/>
  </r>
  <r>
    <x v="20"/>
    <x v="19"/>
    <x v="19"/>
    <x v="2"/>
    <x v="1"/>
    <x v="1"/>
    <x v="1"/>
    <x v="20"/>
    <x v="20"/>
    <x v="20"/>
    <x v="20"/>
    <x v="0"/>
    <x v="1"/>
    <x v="17"/>
  </r>
  <r>
    <x v="21"/>
    <x v="20"/>
    <x v="20"/>
    <x v="2"/>
    <x v="1"/>
    <x v="1"/>
    <x v="2"/>
    <x v="21"/>
    <x v="21"/>
    <x v="21"/>
    <x v="21"/>
    <x v="0"/>
    <x v="2"/>
    <x v="5"/>
  </r>
  <r>
    <x v="22"/>
    <x v="21"/>
    <x v="21"/>
    <x v="1"/>
    <x v="1"/>
    <x v="10"/>
    <x v="0"/>
    <x v="22"/>
    <x v="22"/>
    <x v="22"/>
    <x v="22"/>
    <x v="3"/>
    <x v="2"/>
    <x v="18"/>
  </r>
  <r>
    <x v="23"/>
    <x v="22"/>
    <x v="22"/>
    <x v="0"/>
    <x v="2"/>
    <x v="11"/>
    <x v="3"/>
    <x v="23"/>
    <x v="23"/>
    <x v="23"/>
    <x v="23"/>
    <x v="1"/>
    <x v="2"/>
    <x v="19"/>
  </r>
  <r>
    <x v="24"/>
    <x v="23"/>
    <x v="23"/>
    <x v="2"/>
    <x v="2"/>
    <x v="12"/>
    <x v="4"/>
    <x v="24"/>
    <x v="24"/>
    <x v="24"/>
    <x v="24"/>
    <x v="0"/>
    <x v="2"/>
    <x v="4"/>
  </r>
  <r>
    <x v="25"/>
    <x v="24"/>
    <x v="24"/>
    <x v="4"/>
    <x v="3"/>
    <x v="9"/>
    <x v="1"/>
    <x v="25"/>
    <x v="25"/>
    <x v="25"/>
    <x v="25"/>
    <x v="2"/>
    <x v="1"/>
    <x v="20"/>
  </r>
  <r>
    <x v="26"/>
    <x v="22"/>
    <x v="25"/>
    <x v="2"/>
    <x v="0"/>
    <x v="3"/>
    <x v="0"/>
    <x v="26"/>
    <x v="26"/>
    <x v="26"/>
    <x v="26"/>
    <x v="3"/>
    <x v="2"/>
    <x v="21"/>
  </r>
  <r>
    <x v="27"/>
    <x v="25"/>
    <x v="26"/>
    <x v="2"/>
    <x v="0"/>
    <x v="13"/>
    <x v="4"/>
    <x v="27"/>
    <x v="27"/>
    <x v="27"/>
    <x v="27"/>
    <x v="2"/>
    <x v="2"/>
    <x v="22"/>
  </r>
  <r>
    <x v="28"/>
    <x v="26"/>
    <x v="27"/>
    <x v="1"/>
    <x v="1"/>
    <x v="1"/>
    <x v="2"/>
    <x v="28"/>
    <x v="28"/>
    <x v="28"/>
    <x v="28"/>
    <x v="0"/>
    <x v="0"/>
    <x v="23"/>
  </r>
  <r>
    <x v="29"/>
    <x v="27"/>
    <x v="28"/>
    <x v="1"/>
    <x v="0"/>
    <x v="3"/>
    <x v="2"/>
    <x v="29"/>
    <x v="29"/>
    <x v="29"/>
    <x v="29"/>
    <x v="1"/>
    <x v="2"/>
    <x v="24"/>
  </r>
  <r>
    <x v="30"/>
    <x v="28"/>
    <x v="29"/>
    <x v="3"/>
    <x v="3"/>
    <x v="7"/>
    <x v="4"/>
    <x v="30"/>
    <x v="30"/>
    <x v="30"/>
    <x v="30"/>
    <x v="1"/>
    <x v="0"/>
    <x v="4"/>
  </r>
  <r>
    <x v="31"/>
    <x v="29"/>
    <x v="30"/>
    <x v="4"/>
    <x v="1"/>
    <x v="1"/>
    <x v="2"/>
    <x v="31"/>
    <x v="31"/>
    <x v="31"/>
    <x v="31"/>
    <x v="0"/>
    <x v="2"/>
    <x v="0"/>
  </r>
  <r>
    <x v="32"/>
    <x v="30"/>
    <x v="31"/>
    <x v="4"/>
    <x v="3"/>
    <x v="7"/>
    <x v="4"/>
    <x v="32"/>
    <x v="32"/>
    <x v="32"/>
    <x v="32"/>
    <x v="3"/>
    <x v="1"/>
    <x v="25"/>
  </r>
  <r>
    <x v="33"/>
    <x v="31"/>
    <x v="32"/>
    <x v="4"/>
    <x v="1"/>
    <x v="14"/>
    <x v="4"/>
    <x v="33"/>
    <x v="33"/>
    <x v="33"/>
    <x v="33"/>
    <x v="1"/>
    <x v="0"/>
    <x v="26"/>
  </r>
  <r>
    <x v="34"/>
    <x v="32"/>
    <x v="33"/>
    <x v="4"/>
    <x v="0"/>
    <x v="13"/>
    <x v="4"/>
    <x v="34"/>
    <x v="34"/>
    <x v="34"/>
    <x v="34"/>
    <x v="1"/>
    <x v="0"/>
    <x v="27"/>
  </r>
  <r>
    <x v="35"/>
    <x v="18"/>
    <x v="34"/>
    <x v="2"/>
    <x v="2"/>
    <x v="12"/>
    <x v="4"/>
    <x v="35"/>
    <x v="35"/>
    <x v="35"/>
    <x v="35"/>
    <x v="3"/>
    <x v="2"/>
    <x v="28"/>
  </r>
  <r>
    <x v="36"/>
    <x v="33"/>
    <x v="35"/>
    <x v="4"/>
    <x v="2"/>
    <x v="4"/>
    <x v="2"/>
    <x v="36"/>
    <x v="36"/>
    <x v="36"/>
    <x v="36"/>
    <x v="0"/>
    <x v="1"/>
    <x v="1"/>
  </r>
  <r>
    <x v="37"/>
    <x v="33"/>
    <x v="36"/>
    <x v="3"/>
    <x v="0"/>
    <x v="3"/>
    <x v="0"/>
    <x v="37"/>
    <x v="37"/>
    <x v="37"/>
    <x v="37"/>
    <x v="2"/>
    <x v="0"/>
    <x v="29"/>
  </r>
  <r>
    <x v="38"/>
    <x v="34"/>
    <x v="37"/>
    <x v="3"/>
    <x v="0"/>
    <x v="0"/>
    <x v="1"/>
    <x v="11"/>
    <x v="38"/>
    <x v="38"/>
    <x v="38"/>
    <x v="1"/>
    <x v="0"/>
    <x v="30"/>
  </r>
  <r>
    <x v="39"/>
    <x v="35"/>
    <x v="38"/>
    <x v="4"/>
    <x v="0"/>
    <x v="0"/>
    <x v="1"/>
    <x v="38"/>
    <x v="39"/>
    <x v="39"/>
    <x v="39"/>
    <x v="3"/>
    <x v="2"/>
    <x v="31"/>
  </r>
  <r>
    <x v="40"/>
    <x v="36"/>
    <x v="39"/>
    <x v="0"/>
    <x v="0"/>
    <x v="13"/>
    <x v="4"/>
    <x v="39"/>
    <x v="40"/>
    <x v="40"/>
    <x v="40"/>
    <x v="2"/>
    <x v="2"/>
    <x v="8"/>
  </r>
  <r>
    <x v="41"/>
    <x v="37"/>
    <x v="40"/>
    <x v="0"/>
    <x v="0"/>
    <x v="0"/>
    <x v="4"/>
    <x v="40"/>
    <x v="41"/>
    <x v="41"/>
    <x v="41"/>
    <x v="3"/>
    <x v="2"/>
    <x v="26"/>
  </r>
  <r>
    <x v="42"/>
    <x v="12"/>
    <x v="41"/>
    <x v="1"/>
    <x v="3"/>
    <x v="7"/>
    <x v="4"/>
    <x v="41"/>
    <x v="42"/>
    <x v="42"/>
    <x v="42"/>
    <x v="3"/>
    <x v="1"/>
    <x v="32"/>
  </r>
  <r>
    <x v="43"/>
    <x v="38"/>
    <x v="42"/>
    <x v="2"/>
    <x v="1"/>
    <x v="1"/>
    <x v="3"/>
    <x v="42"/>
    <x v="43"/>
    <x v="43"/>
    <x v="43"/>
    <x v="0"/>
    <x v="2"/>
    <x v="18"/>
  </r>
  <r>
    <x v="44"/>
    <x v="39"/>
    <x v="43"/>
    <x v="3"/>
    <x v="2"/>
    <x v="11"/>
    <x v="0"/>
    <x v="43"/>
    <x v="44"/>
    <x v="44"/>
    <x v="44"/>
    <x v="3"/>
    <x v="1"/>
    <x v="33"/>
  </r>
  <r>
    <x v="45"/>
    <x v="19"/>
    <x v="14"/>
    <x v="2"/>
    <x v="0"/>
    <x v="13"/>
    <x v="4"/>
    <x v="28"/>
    <x v="45"/>
    <x v="45"/>
    <x v="45"/>
    <x v="3"/>
    <x v="0"/>
    <x v="34"/>
  </r>
  <r>
    <x v="46"/>
    <x v="3"/>
    <x v="44"/>
    <x v="0"/>
    <x v="0"/>
    <x v="13"/>
    <x v="2"/>
    <x v="44"/>
    <x v="46"/>
    <x v="6"/>
    <x v="46"/>
    <x v="1"/>
    <x v="1"/>
    <x v="35"/>
  </r>
  <r>
    <x v="47"/>
    <x v="40"/>
    <x v="45"/>
    <x v="4"/>
    <x v="1"/>
    <x v="6"/>
    <x v="4"/>
    <x v="45"/>
    <x v="47"/>
    <x v="46"/>
    <x v="47"/>
    <x v="1"/>
    <x v="0"/>
    <x v="36"/>
  </r>
  <r>
    <x v="48"/>
    <x v="41"/>
    <x v="46"/>
    <x v="2"/>
    <x v="0"/>
    <x v="3"/>
    <x v="2"/>
    <x v="46"/>
    <x v="48"/>
    <x v="47"/>
    <x v="48"/>
    <x v="2"/>
    <x v="2"/>
    <x v="15"/>
  </r>
  <r>
    <x v="49"/>
    <x v="42"/>
    <x v="47"/>
    <x v="1"/>
    <x v="3"/>
    <x v="9"/>
    <x v="1"/>
    <x v="47"/>
    <x v="49"/>
    <x v="48"/>
    <x v="49"/>
    <x v="1"/>
    <x v="2"/>
    <x v="37"/>
  </r>
  <r>
    <x v="50"/>
    <x v="43"/>
    <x v="48"/>
    <x v="3"/>
    <x v="3"/>
    <x v="7"/>
    <x v="0"/>
    <x v="48"/>
    <x v="50"/>
    <x v="49"/>
    <x v="50"/>
    <x v="2"/>
    <x v="0"/>
    <x v="22"/>
  </r>
  <r>
    <x v="51"/>
    <x v="44"/>
    <x v="49"/>
    <x v="0"/>
    <x v="3"/>
    <x v="9"/>
    <x v="2"/>
    <x v="49"/>
    <x v="51"/>
    <x v="47"/>
    <x v="51"/>
    <x v="3"/>
    <x v="1"/>
    <x v="38"/>
  </r>
  <r>
    <x v="52"/>
    <x v="45"/>
    <x v="50"/>
    <x v="0"/>
    <x v="1"/>
    <x v="14"/>
    <x v="2"/>
    <x v="50"/>
    <x v="52"/>
    <x v="50"/>
    <x v="52"/>
    <x v="3"/>
    <x v="1"/>
    <x v="39"/>
  </r>
  <r>
    <x v="53"/>
    <x v="46"/>
    <x v="51"/>
    <x v="4"/>
    <x v="2"/>
    <x v="11"/>
    <x v="1"/>
    <x v="51"/>
    <x v="53"/>
    <x v="51"/>
    <x v="53"/>
    <x v="1"/>
    <x v="2"/>
    <x v="40"/>
  </r>
  <r>
    <x v="54"/>
    <x v="47"/>
    <x v="52"/>
    <x v="0"/>
    <x v="0"/>
    <x v="3"/>
    <x v="3"/>
    <x v="33"/>
    <x v="54"/>
    <x v="52"/>
    <x v="54"/>
    <x v="0"/>
    <x v="2"/>
    <x v="41"/>
  </r>
  <r>
    <x v="55"/>
    <x v="48"/>
    <x v="53"/>
    <x v="1"/>
    <x v="3"/>
    <x v="7"/>
    <x v="2"/>
    <x v="52"/>
    <x v="55"/>
    <x v="53"/>
    <x v="55"/>
    <x v="0"/>
    <x v="0"/>
    <x v="31"/>
  </r>
  <r>
    <x v="56"/>
    <x v="49"/>
    <x v="54"/>
    <x v="2"/>
    <x v="1"/>
    <x v="1"/>
    <x v="1"/>
    <x v="53"/>
    <x v="56"/>
    <x v="54"/>
    <x v="56"/>
    <x v="3"/>
    <x v="0"/>
    <x v="6"/>
  </r>
  <r>
    <x v="57"/>
    <x v="50"/>
    <x v="55"/>
    <x v="2"/>
    <x v="2"/>
    <x v="5"/>
    <x v="3"/>
    <x v="54"/>
    <x v="57"/>
    <x v="55"/>
    <x v="57"/>
    <x v="2"/>
    <x v="0"/>
    <x v="5"/>
  </r>
  <r>
    <x v="58"/>
    <x v="18"/>
    <x v="56"/>
    <x v="3"/>
    <x v="1"/>
    <x v="6"/>
    <x v="4"/>
    <x v="55"/>
    <x v="58"/>
    <x v="56"/>
    <x v="58"/>
    <x v="3"/>
    <x v="1"/>
    <x v="29"/>
  </r>
  <r>
    <x v="59"/>
    <x v="51"/>
    <x v="57"/>
    <x v="1"/>
    <x v="0"/>
    <x v="3"/>
    <x v="4"/>
    <x v="56"/>
    <x v="59"/>
    <x v="57"/>
    <x v="59"/>
    <x v="0"/>
    <x v="2"/>
    <x v="42"/>
  </r>
  <r>
    <x v="60"/>
    <x v="52"/>
    <x v="58"/>
    <x v="0"/>
    <x v="3"/>
    <x v="9"/>
    <x v="1"/>
    <x v="57"/>
    <x v="60"/>
    <x v="57"/>
    <x v="60"/>
    <x v="1"/>
    <x v="2"/>
    <x v="43"/>
  </r>
  <r>
    <x v="61"/>
    <x v="53"/>
    <x v="59"/>
    <x v="2"/>
    <x v="0"/>
    <x v="3"/>
    <x v="4"/>
    <x v="49"/>
    <x v="61"/>
    <x v="58"/>
    <x v="61"/>
    <x v="3"/>
    <x v="0"/>
    <x v="18"/>
  </r>
  <r>
    <x v="62"/>
    <x v="54"/>
    <x v="60"/>
    <x v="2"/>
    <x v="2"/>
    <x v="2"/>
    <x v="1"/>
    <x v="58"/>
    <x v="62"/>
    <x v="59"/>
    <x v="62"/>
    <x v="3"/>
    <x v="0"/>
    <x v="6"/>
  </r>
  <r>
    <x v="63"/>
    <x v="55"/>
    <x v="61"/>
    <x v="3"/>
    <x v="3"/>
    <x v="9"/>
    <x v="4"/>
    <x v="59"/>
    <x v="63"/>
    <x v="60"/>
    <x v="63"/>
    <x v="1"/>
    <x v="1"/>
    <x v="44"/>
  </r>
  <r>
    <x v="64"/>
    <x v="56"/>
    <x v="62"/>
    <x v="3"/>
    <x v="0"/>
    <x v="13"/>
    <x v="4"/>
    <x v="60"/>
    <x v="64"/>
    <x v="61"/>
    <x v="64"/>
    <x v="0"/>
    <x v="1"/>
    <x v="38"/>
  </r>
  <r>
    <x v="65"/>
    <x v="57"/>
    <x v="63"/>
    <x v="3"/>
    <x v="0"/>
    <x v="13"/>
    <x v="2"/>
    <x v="61"/>
    <x v="65"/>
    <x v="62"/>
    <x v="65"/>
    <x v="3"/>
    <x v="2"/>
    <x v="45"/>
  </r>
  <r>
    <x v="66"/>
    <x v="58"/>
    <x v="64"/>
    <x v="4"/>
    <x v="1"/>
    <x v="1"/>
    <x v="2"/>
    <x v="62"/>
    <x v="66"/>
    <x v="63"/>
    <x v="66"/>
    <x v="0"/>
    <x v="2"/>
    <x v="20"/>
  </r>
  <r>
    <x v="67"/>
    <x v="59"/>
    <x v="65"/>
    <x v="0"/>
    <x v="1"/>
    <x v="10"/>
    <x v="3"/>
    <x v="63"/>
    <x v="67"/>
    <x v="64"/>
    <x v="44"/>
    <x v="0"/>
    <x v="1"/>
    <x v="46"/>
  </r>
  <r>
    <x v="68"/>
    <x v="45"/>
    <x v="51"/>
    <x v="0"/>
    <x v="1"/>
    <x v="1"/>
    <x v="4"/>
    <x v="64"/>
    <x v="68"/>
    <x v="65"/>
    <x v="67"/>
    <x v="3"/>
    <x v="2"/>
    <x v="47"/>
  </r>
  <r>
    <x v="69"/>
    <x v="60"/>
    <x v="66"/>
    <x v="4"/>
    <x v="2"/>
    <x v="5"/>
    <x v="0"/>
    <x v="65"/>
    <x v="69"/>
    <x v="66"/>
    <x v="68"/>
    <x v="3"/>
    <x v="2"/>
    <x v="36"/>
  </r>
  <r>
    <x v="70"/>
    <x v="61"/>
    <x v="67"/>
    <x v="4"/>
    <x v="0"/>
    <x v="3"/>
    <x v="3"/>
    <x v="66"/>
    <x v="70"/>
    <x v="67"/>
    <x v="69"/>
    <x v="1"/>
    <x v="0"/>
    <x v="47"/>
  </r>
  <r>
    <x v="71"/>
    <x v="62"/>
    <x v="68"/>
    <x v="4"/>
    <x v="0"/>
    <x v="3"/>
    <x v="1"/>
    <x v="67"/>
    <x v="71"/>
    <x v="68"/>
    <x v="18"/>
    <x v="2"/>
    <x v="0"/>
    <x v="41"/>
  </r>
  <r>
    <x v="72"/>
    <x v="63"/>
    <x v="69"/>
    <x v="4"/>
    <x v="3"/>
    <x v="8"/>
    <x v="4"/>
    <x v="68"/>
    <x v="72"/>
    <x v="69"/>
    <x v="70"/>
    <x v="1"/>
    <x v="2"/>
    <x v="12"/>
  </r>
  <r>
    <x v="73"/>
    <x v="64"/>
    <x v="70"/>
    <x v="2"/>
    <x v="1"/>
    <x v="10"/>
    <x v="4"/>
    <x v="14"/>
    <x v="73"/>
    <x v="70"/>
    <x v="71"/>
    <x v="0"/>
    <x v="2"/>
    <x v="48"/>
  </r>
  <r>
    <x v="74"/>
    <x v="65"/>
    <x v="71"/>
    <x v="2"/>
    <x v="0"/>
    <x v="3"/>
    <x v="2"/>
    <x v="69"/>
    <x v="74"/>
    <x v="71"/>
    <x v="72"/>
    <x v="2"/>
    <x v="2"/>
    <x v="3"/>
  </r>
  <r>
    <x v="75"/>
    <x v="66"/>
    <x v="72"/>
    <x v="1"/>
    <x v="3"/>
    <x v="8"/>
    <x v="1"/>
    <x v="70"/>
    <x v="75"/>
    <x v="72"/>
    <x v="73"/>
    <x v="1"/>
    <x v="1"/>
    <x v="47"/>
  </r>
  <r>
    <x v="76"/>
    <x v="31"/>
    <x v="73"/>
    <x v="1"/>
    <x v="1"/>
    <x v="6"/>
    <x v="3"/>
    <x v="71"/>
    <x v="76"/>
    <x v="73"/>
    <x v="74"/>
    <x v="0"/>
    <x v="1"/>
    <x v="49"/>
  </r>
  <r>
    <x v="77"/>
    <x v="67"/>
    <x v="74"/>
    <x v="2"/>
    <x v="1"/>
    <x v="6"/>
    <x v="0"/>
    <x v="72"/>
    <x v="77"/>
    <x v="74"/>
    <x v="75"/>
    <x v="0"/>
    <x v="1"/>
    <x v="47"/>
  </r>
  <r>
    <x v="78"/>
    <x v="68"/>
    <x v="75"/>
    <x v="1"/>
    <x v="0"/>
    <x v="13"/>
    <x v="0"/>
    <x v="73"/>
    <x v="78"/>
    <x v="75"/>
    <x v="76"/>
    <x v="3"/>
    <x v="2"/>
    <x v="22"/>
  </r>
  <r>
    <x v="79"/>
    <x v="69"/>
    <x v="76"/>
    <x v="2"/>
    <x v="3"/>
    <x v="7"/>
    <x v="3"/>
    <x v="74"/>
    <x v="79"/>
    <x v="76"/>
    <x v="77"/>
    <x v="0"/>
    <x v="0"/>
    <x v="50"/>
  </r>
  <r>
    <x v="80"/>
    <x v="70"/>
    <x v="77"/>
    <x v="4"/>
    <x v="0"/>
    <x v="3"/>
    <x v="4"/>
    <x v="75"/>
    <x v="80"/>
    <x v="46"/>
    <x v="78"/>
    <x v="1"/>
    <x v="0"/>
    <x v="51"/>
  </r>
  <r>
    <x v="81"/>
    <x v="71"/>
    <x v="78"/>
    <x v="1"/>
    <x v="2"/>
    <x v="12"/>
    <x v="2"/>
    <x v="76"/>
    <x v="81"/>
    <x v="77"/>
    <x v="79"/>
    <x v="1"/>
    <x v="2"/>
    <x v="16"/>
  </r>
  <r>
    <x v="82"/>
    <x v="43"/>
    <x v="79"/>
    <x v="0"/>
    <x v="2"/>
    <x v="5"/>
    <x v="3"/>
    <x v="44"/>
    <x v="82"/>
    <x v="78"/>
    <x v="80"/>
    <x v="0"/>
    <x v="2"/>
    <x v="43"/>
  </r>
  <r>
    <x v="83"/>
    <x v="72"/>
    <x v="80"/>
    <x v="1"/>
    <x v="2"/>
    <x v="4"/>
    <x v="1"/>
    <x v="77"/>
    <x v="83"/>
    <x v="79"/>
    <x v="81"/>
    <x v="2"/>
    <x v="0"/>
    <x v="51"/>
  </r>
  <r>
    <x v="84"/>
    <x v="73"/>
    <x v="81"/>
    <x v="2"/>
    <x v="2"/>
    <x v="11"/>
    <x v="1"/>
    <x v="78"/>
    <x v="84"/>
    <x v="80"/>
    <x v="82"/>
    <x v="1"/>
    <x v="2"/>
    <x v="8"/>
  </r>
  <r>
    <x v="85"/>
    <x v="74"/>
    <x v="82"/>
    <x v="4"/>
    <x v="3"/>
    <x v="9"/>
    <x v="1"/>
    <x v="79"/>
    <x v="85"/>
    <x v="81"/>
    <x v="63"/>
    <x v="0"/>
    <x v="0"/>
    <x v="34"/>
  </r>
  <r>
    <x v="86"/>
    <x v="75"/>
    <x v="83"/>
    <x v="0"/>
    <x v="3"/>
    <x v="8"/>
    <x v="0"/>
    <x v="80"/>
    <x v="86"/>
    <x v="82"/>
    <x v="83"/>
    <x v="1"/>
    <x v="1"/>
    <x v="2"/>
  </r>
  <r>
    <x v="87"/>
    <x v="7"/>
    <x v="84"/>
    <x v="1"/>
    <x v="2"/>
    <x v="2"/>
    <x v="4"/>
    <x v="81"/>
    <x v="87"/>
    <x v="83"/>
    <x v="84"/>
    <x v="2"/>
    <x v="2"/>
    <x v="36"/>
  </r>
  <r>
    <x v="88"/>
    <x v="76"/>
    <x v="85"/>
    <x v="3"/>
    <x v="1"/>
    <x v="14"/>
    <x v="4"/>
    <x v="82"/>
    <x v="88"/>
    <x v="84"/>
    <x v="85"/>
    <x v="0"/>
    <x v="0"/>
    <x v="34"/>
  </r>
  <r>
    <x v="89"/>
    <x v="77"/>
    <x v="86"/>
    <x v="0"/>
    <x v="0"/>
    <x v="0"/>
    <x v="4"/>
    <x v="65"/>
    <x v="89"/>
    <x v="85"/>
    <x v="86"/>
    <x v="3"/>
    <x v="1"/>
    <x v="52"/>
  </r>
  <r>
    <x v="90"/>
    <x v="78"/>
    <x v="87"/>
    <x v="0"/>
    <x v="3"/>
    <x v="7"/>
    <x v="0"/>
    <x v="83"/>
    <x v="90"/>
    <x v="86"/>
    <x v="87"/>
    <x v="2"/>
    <x v="2"/>
    <x v="37"/>
  </r>
  <r>
    <x v="91"/>
    <x v="79"/>
    <x v="88"/>
    <x v="2"/>
    <x v="3"/>
    <x v="8"/>
    <x v="0"/>
    <x v="84"/>
    <x v="91"/>
    <x v="69"/>
    <x v="88"/>
    <x v="1"/>
    <x v="1"/>
    <x v="27"/>
  </r>
  <r>
    <x v="92"/>
    <x v="80"/>
    <x v="89"/>
    <x v="4"/>
    <x v="2"/>
    <x v="5"/>
    <x v="1"/>
    <x v="85"/>
    <x v="92"/>
    <x v="11"/>
    <x v="89"/>
    <x v="3"/>
    <x v="2"/>
    <x v="22"/>
  </r>
  <r>
    <x v="93"/>
    <x v="81"/>
    <x v="90"/>
    <x v="2"/>
    <x v="0"/>
    <x v="13"/>
    <x v="3"/>
    <x v="2"/>
    <x v="93"/>
    <x v="87"/>
    <x v="90"/>
    <x v="1"/>
    <x v="2"/>
    <x v="53"/>
  </r>
  <r>
    <x v="94"/>
    <x v="41"/>
    <x v="91"/>
    <x v="2"/>
    <x v="0"/>
    <x v="0"/>
    <x v="2"/>
    <x v="86"/>
    <x v="94"/>
    <x v="29"/>
    <x v="91"/>
    <x v="3"/>
    <x v="0"/>
    <x v="54"/>
  </r>
  <r>
    <x v="95"/>
    <x v="55"/>
    <x v="92"/>
    <x v="2"/>
    <x v="1"/>
    <x v="6"/>
    <x v="3"/>
    <x v="87"/>
    <x v="95"/>
    <x v="88"/>
    <x v="92"/>
    <x v="1"/>
    <x v="1"/>
    <x v="27"/>
  </r>
  <r>
    <x v="96"/>
    <x v="29"/>
    <x v="93"/>
    <x v="1"/>
    <x v="3"/>
    <x v="7"/>
    <x v="2"/>
    <x v="88"/>
    <x v="96"/>
    <x v="12"/>
    <x v="48"/>
    <x v="1"/>
    <x v="0"/>
    <x v="55"/>
  </r>
  <r>
    <x v="97"/>
    <x v="82"/>
    <x v="94"/>
    <x v="0"/>
    <x v="3"/>
    <x v="9"/>
    <x v="1"/>
    <x v="89"/>
    <x v="97"/>
    <x v="89"/>
    <x v="93"/>
    <x v="0"/>
    <x v="0"/>
    <x v="56"/>
  </r>
  <r>
    <x v="98"/>
    <x v="83"/>
    <x v="95"/>
    <x v="4"/>
    <x v="3"/>
    <x v="8"/>
    <x v="1"/>
    <x v="90"/>
    <x v="98"/>
    <x v="90"/>
    <x v="94"/>
    <x v="1"/>
    <x v="0"/>
    <x v="57"/>
  </r>
  <r>
    <x v="99"/>
    <x v="82"/>
    <x v="96"/>
    <x v="4"/>
    <x v="3"/>
    <x v="9"/>
    <x v="1"/>
    <x v="91"/>
    <x v="99"/>
    <x v="91"/>
    <x v="95"/>
    <x v="1"/>
    <x v="1"/>
    <x v="58"/>
  </r>
  <r>
    <x v="100"/>
    <x v="84"/>
    <x v="97"/>
    <x v="3"/>
    <x v="1"/>
    <x v="14"/>
    <x v="2"/>
    <x v="26"/>
    <x v="100"/>
    <x v="92"/>
    <x v="12"/>
    <x v="0"/>
    <x v="1"/>
    <x v="4"/>
  </r>
  <r>
    <x v="101"/>
    <x v="85"/>
    <x v="98"/>
    <x v="2"/>
    <x v="3"/>
    <x v="7"/>
    <x v="0"/>
    <x v="92"/>
    <x v="101"/>
    <x v="93"/>
    <x v="96"/>
    <x v="1"/>
    <x v="0"/>
    <x v="54"/>
  </r>
  <r>
    <x v="102"/>
    <x v="86"/>
    <x v="99"/>
    <x v="4"/>
    <x v="0"/>
    <x v="3"/>
    <x v="2"/>
    <x v="93"/>
    <x v="102"/>
    <x v="94"/>
    <x v="23"/>
    <x v="2"/>
    <x v="2"/>
    <x v="37"/>
  </r>
  <r>
    <x v="103"/>
    <x v="87"/>
    <x v="100"/>
    <x v="3"/>
    <x v="2"/>
    <x v="11"/>
    <x v="4"/>
    <x v="94"/>
    <x v="103"/>
    <x v="33"/>
    <x v="73"/>
    <x v="0"/>
    <x v="0"/>
    <x v="59"/>
  </r>
  <r>
    <x v="104"/>
    <x v="88"/>
    <x v="101"/>
    <x v="0"/>
    <x v="0"/>
    <x v="0"/>
    <x v="4"/>
    <x v="95"/>
    <x v="67"/>
    <x v="95"/>
    <x v="97"/>
    <x v="2"/>
    <x v="0"/>
    <x v="60"/>
  </r>
  <r>
    <x v="105"/>
    <x v="67"/>
    <x v="102"/>
    <x v="0"/>
    <x v="3"/>
    <x v="7"/>
    <x v="2"/>
    <x v="96"/>
    <x v="104"/>
    <x v="96"/>
    <x v="5"/>
    <x v="0"/>
    <x v="2"/>
    <x v="19"/>
  </r>
  <r>
    <x v="106"/>
    <x v="89"/>
    <x v="103"/>
    <x v="1"/>
    <x v="3"/>
    <x v="7"/>
    <x v="1"/>
    <x v="97"/>
    <x v="105"/>
    <x v="97"/>
    <x v="98"/>
    <x v="0"/>
    <x v="2"/>
    <x v="9"/>
  </r>
  <r>
    <x v="107"/>
    <x v="90"/>
    <x v="104"/>
    <x v="2"/>
    <x v="3"/>
    <x v="7"/>
    <x v="0"/>
    <x v="98"/>
    <x v="106"/>
    <x v="98"/>
    <x v="99"/>
    <x v="3"/>
    <x v="1"/>
    <x v="61"/>
  </r>
  <r>
    <x v="108"/>
    <x v="91"/>
    <x v="105"/>
    <x v="3"/>
    <x v="2"/>
    <x v="12"/>
    <x v="4"/>
    <x v="99"/>
    <x v="107"/>
    <x v="99"/>
    <x v="100"/>
    <x v="0"/>
    <x v="1"/>
    <x v="48"/>
  </r>
  <r>
    <x v="109"/>
    <x v="92"/>
    <x v="106"/>
    <x v="0"/>
    <x v="2"/>
    <x v="11"/>
    <x v="4"/>
    <x v="100"/>
    <x v="108"/>
    <x v="100"/>
    <x v="101"/>
    <x v="1"/>
    <x v="1"/>
    <x v="54"/>
  </r>
  <r>
    <x v="110"/>
    <x v="93"/>
    <x v="107"/>
    <x v="3"/>
    <x v="1"/>
    <x v="6"/>
    <x v="4"/>
    <x v="101"/>
    <x v="109"/>
    <x v="101"/>
    <x v="14"/>
    <x v="0"/>
    <x v="2"/>
    <x v="26"/>
  </r>
  <r>
    <x v="111"/>
    <x v="13"/>
    <x v="108"/>
    <x v="4"/>
    <x v="3"/>
    <x v="7"/>
    <x v="3"/>
    <x v="102"/>
    <x v="110"/>
    <x v="102"/>
    <x v="102"/>
    <x v="3"/>
    <x v="2"/>
    <x v="62"/>
  </r>
  <r>
    <x v="112"/>
    <x v="85"/>
    <x v="109"/>
    <x v="1"/>
    <x v="2"/>
    <x v="11"/>
    <x v="0"/>
    <x v="103"/>
    <x v="111"/>
    <x v="103"/>
    <x v="103"/>
    <x v="3"/>
    <x v="0"/>
    <x v="21"/>
  </r>
  <r>
    <x v="113"/>
    <x v="94"/>
    <x v="110"/>
    <x v="2"/>
    <x v="0"/>
    <x v="0"/>
    <x v="1"/>
    <x v="104"/>
    <x v="112"/>
    <x v="104"/>
    <x v="104"/>
    <x v="3"/>
    <x v="0"/>
    <x v="44"/>
  </r>
  <r>
    <x v="114"/>
    <x v="95"/>
    <x v="111"/>
    <x v="2"/>
    <x v="0"/>
    <x v="3"/>
    <x v="3"/>
    <x v="105"/>
    <x v="113"/>
    <x v="105"/>
    <x v="105"/>
    <x v="0"/>
    <x v="0"/>
    <x v="63"/>
  </r>
  <r>
    <x v="115"/>
    <x v="96"/>
    <x v="112"/>
    <x v="2"/>
    <x v="0"/>
    <x v="0"/>
    <x v="0"/>
    <x v="106"/>
    <x v="114"/>
    <x v="106"/>
    <x v="106"/>
    <x v="1"/>
    <x v="2"/>
    <x v="31"/>
  </r>
  <r>
    <x v="116"/>
    <x v="97"/>
    <x v="113"/>
    <x v="4"/>
    <x v="1"/>
    <x v="14"/>
    <x v="1"/>
    <x v="5"/>
    <x v="115"/>
    <x v="107"/>
    <x v="40"/>
    <x v="2"/>
    <x v="0"/>
    <x v="22"/>
  </r>
  <r>
    <x v="117"/>
    <x v="58"/>
    <x v="70"/>
    <x v="4"/>
    <x v="0"/>
    <x v="13"/>
    <x v="2"/>
    <x v="107"/>
    <x v="116"/>
    <x v="108"/>
    <x v="107"/>
    <x v="2"/>
    <x v="0"/>
    <x v="57"/>
  </r>
  <r>
    <x v="118"/>
    <x v="98"/>
    <x v="114"/>
    <x v="4"/>
    <x v="3"/>
    <x v="9"/>
    <x v="4"/>
    <x v="108"/>
    <x v="117"/>
    <x v="109"/>
    <x v="108"/>
    <x v="1"/>
    <x v="1"/>
    <x v="38"/>
  </r>
  <r>
    <x v="119"/>
    <x v="99"/>
    <x v="115"/>
    <x v="3"/>
    <x v="0"/>
    <x v="0"/>
    <x v="1"/>
    <x v="67"/>
    <x v="71"/>
    <x v="110"/>
    <x v="109"/>
    <x v="3"/>
    <x v="2"/>
    <x v="30"/>
  </r>
  <r>
    <x v="120"/>
    <x v="100"/>
    <x v="116"/>
    <x v="4"/>
    <x v="0"/>
    <x v="3"/>
    <x v="0"/>
    <x v="2"/>
    <x v="118"/>
    <x v="111"/>
    <x v="110"/>
    <x v="2"/>
    <x v="1"/>
    <x v="64"/>
  </r>
  <r>
    <x v="121"/>
    <x v="8"/>
    <x v="117"/>
    <x v="0"/>
    <x v="3"/>
    <x v="8"/>
    <x v="2"/>
    <x v="109"/>
    <x v="119"/>
    <x v="112"/>
    <x v="55"/>
    <x v="3"/>
    <x v="0"/>
    <x v="65"/>
  </r>
  <r>
    <x v="122"/>
    <x v="101"/>
    <x v="118"/>
    <x v="0"/>
    <x v="0"/>
    <x v="3"/>
    <x v="0"/>
    <x v="55"/>
    <x v="120"/>
    <x v="113"/>
    <x v="111"/>
    <x v="3"/>
    <x v="2"/>
    <x v="37"/>
  </r>
  <r>
    <x v="123"/>
    <x v="102"/>
    <x v="119"/>
    <x v="2"/>
    <x v="2"/>
    <x v="12"/>
    <x v="0"/>
    <x v="110"/>
    <x v="121"/>
    <x v="114"/>
    <x v="112"/>
    <x v="2"/>
    <x v="1"/>
    <x v="25"/>
  </r>
  <r>
    <x v="124"/>
    <x v="10"/>
    <x v="120"/>
    <x v="0"/>
    <x v="2"/>
    <x v="5"/>
    <x v="4"/>
    <x v="111"/>
    <x v="122"/>
    <x v="115"/>
    <x v="113"/>
    <x v="1"/>
    <x v="1"/>
    <x v="24"/>
  </r>
  <r>
    <x v="125"/>
    <x v="103"/>
    <x v="121"/>
    <x v="3"/>
    <x v="2"/>
    <x v="11"/>
    <x v="4"/>
    <x v="112"/>
    <x v="123"/>
    <x v="116"/>
    <x v="114"/>
    <x v="1"/>
    <x v="1"/>
    <x v="35"/>
  </r>
  <r>
    <x v="126"/>
    <x v="104"/>
    <x v="122"/>
    <x v="1"/>
    <x v="1"/>
    <x v="6"/>
    <x v="3"/>
    <x v="113"/>
    <x v="124"/>
    <x v="117"/>
    <x v="115"/>
    <x v="0"/>
    <x v="0"/>
    <x v="66"/>
  </r>
  <r>
    <x v="127"/>
    <x v="105"/>
    <x v="123"/>
    <x v="0"/>
    <x v="3"/>
    <x v="7"/>
    <x v="2"/>
    <x v="114"/>
    <x v="125"/>
    <x v="96"/>
    <x v="116"/>
    <x v="2"/>
    <x v="0"/>
    <x v="67"/>
  </r>
  <r>
    <x v="128"/>
    <x v="88"/>
    <x v="124"/>
    <x v="2"/>
    <x v="2"/>
    <x v="5"/>
    <x v="4"/>
    <x v="115"/>
    <x v="126"/>
    <x v="118"/>
    <x v="32"/>
    <x v="0"/>
    <x v="2"/>
    <x v="68"/>
  </r>
  <r>
    <x v="129"/>
    <x v="106"/>
    <x v="125"/>
    <x v="1"/>
    <x v="0"/>
    <x v="3"/>
    <x v="1"/>
    <x v="116"/>
    <x v="127"/>
    <x v="119"/>
    <x v="117"/>
    <x v="3"/>
    <x v="0"/>
    <x v="11"/>
  </r>
  <r>
    <x v="130"/>
    <x v="107"/>
    <x v="126"/>
    <x v="1"/>
    <x v="2"/>
    <x v="5"/>
    <x v="0"/>
    <x v="41"/>
    <x v="128"/>
    <x v="120"/>
    <x v="118"/>
    <x v="1"/>
    <x v="2"/>
    <x v="50"/>
  </r>
  <r>
    <x v="131"/>
    <x v="108"/>
    <x v="127"/>
    <x v="1"/>
    <x v="1"/>
    <x v="6"/>
    <x v="2"/>
    <x v="117"/>
    <x v="129"/>
    <x v="43"/>
    <x v="119"/>
    <x v="1"/>
    <x v="0"/>
    <x v="69"/>
  </r>
  <r>
    <x v="132"/>
    <x v="47"/>
    <x v="10"/>
    <x v="3"/>
    <x v="2"/>
    <x v="12"/>
    <x v="0"/>
    <x v="35"/>
    <x v="130"/>
    <x v="121"/>
    <x v="120"/>
    <x v="3"/>
    <x v="2"/>
    <x v="31"/>
  </r>
  <r>
    <x v="133"/>
    <x v="109"/>
    <x v="128"/>
    <x v="2"/>
    <x v="0"/>
    <x v="0"/>
    <x v="0"/>
    <x v="118"/>
    <x v="131"/>
    <x v="122"/>
    <x v="121"/>
    <x v="0"/>
    <x v="0"/>
    <x v="22"/>
  </r>
  <r>
    <x v="134"/>
    <x v="110"/>
    <x v="129"/>
    <x v="1"/>
    <x v="3"/>
    <x v="8"/>
    <x v="4"/>
    <x v="119"/>
    <x v="132"/>
    <x v="123"/>
    <x v="122"/>
    <x v="1"/>
    <x v="2"/>
    <x v="70"/>
  </r>
  <r>
    <x v="135"/>
    <x v="111"/>
    <x v="130"/>
    <x v="0"/>
    <x v="3"/>
    <x v="8"/>
    <x v="0"/>
    <x v="120"/>
    <x v="133"/>
    <x v="124"/>
    <x v="123"/>
    <x v="3"/>
    <x v="0"/>
    <x v="22"/>
  </r>
  <r>
    <x v="136"/>
    <x v="53"/>
    <x v="131"/>
    <x v="0"/>
    <x v="2"/>
    <x v="11"/>
    <x v="3"/>
    <x v="94"/>
    <x v="134"/>
    <x v="125"/>
    <x v="124"/>
    <x v="0"/>
    <x v="1"/>
    <x v="71"/>
  </r>
  <r>
    <x v="137"/>
    <x v="112"/>
    <x v="132"/>
    <x v="3"/>
    <x v="3"/>
    <x v="8"/>
    <x v="0"/>
    <x v="121"/>
    <x v="135"/>
    <x v="126"/>
    <x v="125"/>
    <x v="1"/>
    <x v="2"/>
    <x v="48"/>
  </r>
  <r>
    <x v="138"/>
    <x v="113"/>
    <x v="133"/>
    <x v="2"/>
    <x v="3"/>
    <x v="9"/>
    <x v="0"/>
    <x v="91"/>
    <x v="136"/>
    <x v="106"/>
    <x v="126"/>
    <x v="2"/>
    <x v="1"/>
    <x v="47"/>
  </r>
  <r>
    <x v="139"/>
    <x v="114"/>
    <x v="134"/>
    <x v="1"/>
    <x v="3"/>
    <x v="9"/>
    <x v="1"/>
    <x v="122"/>
    <x v="137"/>
    <x v="127"/>
    <x v="127"/>
    <x v="0"/>
    <x v="2"/>
    <x v="72"/>
  </r>
  <r>
    <x v="140"/>
    <x v="115"/>
    <x v="135"/>
    <x v="1"/>
    <x v="3"/>
    <x v="7"/>
    <x v="2"/>
    <x v="123"/>
    <x v="138"/>
    <x v="88"/>
    <x v="107"/>
    <x v="2"/>
    <x v="1"/>
    <x v="36"/>
  </r>
  <r>
    <x v="141"/>
    <x v="59"/>
    <x v="136"/>
    <x v="3"/>
    <x v="3"/>
    <x v="7"/>
    <x v="1"/>
    <x v="124"/>
    <x v="109"/>
    <x v="128"/>
    <x v="128"/>
    <x v="1"/>
    <x v="0"/>
    <x v="73"/>
  </r>
  <r>
    <x v="142"/>
    <x v="49"/>
    <x v="137"/>
    <x v="0"/>
    <x v="0"/>
    <x v="13"/>
    <x v="1"/>
    <x v="125"/>
    <x v="139"/>
    <x v="129"/>
    <x v="78"/>
    <x v="3"/>
    <x v="2"/>
    <x v="40"/>
  </r>
  <r>
    <x v="143"/>
    <x v="109"/>
    <x v="138"/>
    <x v="2"/>
    <x v="2"/>
    <x v="12"/>
    <x v="3"/>
    <x v="126"/>
    <x v="140"/>
    <x v="130"/>
    <x v="129"/>
    <x v="3"/>
    <x v="1"/>
    <x v="74"/>
  </r>
  <r>
    <x v="144"/>
    <x v="116"/>
    <x v="139"/>
    <x v="1"/>
    <x v="1"/>
    <x v="1"/>
    <x v="2"/>
    <x v="127"/>
    <x v="141"/>
    <x v="131"/>
    <x v="130"/>
    <x v="1"/>
    <x v="0"/>
    <x v="26"/>
  </r>
  <r>
    <x v="145"/>
    <x v="117"/>
    <x v="140"/>
    <x v="4"/>
    <x v="3"/>
    <x v="8"/>
    <x v="0"/>
    <x v="128"/>
    <x v="142"/>
    <x v="132"/>
    <x v="131"/>
    <x v="0"/>
    <x v="0"/>
    <x v="13"/>
  </r>
  <r>
    <x v="146"/>
    <x v="92"/>
    <x v="141"/>
    <x v="1"/>
    <x v="1"/>
    <x v="10"/>
    <x v="0"/>
    <x v="129"/>
    <x v="143"/>
    <x v="133"/>
    <x v="132"/>
    <x v="1"/>
    <x v="2"/>
    <x v="28"/>
  </r>
  <r>
    <x v="147"/>
    <x v="118"/>
    <x v="142"/>
    <x v="1"/>
    <x v="3"/>
    <x v="7"/>
    <x v="1"/>
    <x v="130"/>
    <x v="144"/>
    <x v="134"/>
    <x v="133"/>
    <x v="1"/>
    <x v="1"/>
    <x v="75"/>
  </r>
  <r>
    <x v="148"/>
    <x v="119"/>
    <x v="143"/>
    <x v="2"/>
    <x v="1"/>
    <x v="10"/>
    <x v="1"/>
    <x v="131"/>
    <x v="145"/>
    <x v="135"/>
    <x v="134"/>
    <x v="2"/>
    <x v="2"/>
    <x v="76"/>
  </r>
  <r>
    <x v="149"/>
    <x v="66"/>
    <x v="144"/>
    <x v="1"/>
    <x v="1"/>
    <x v="10"/>
    <x v="0"/>
    <x v="132"/>
    <x v="146"/>
    <x v="128"/>
    <x v="127"/>
    <x v="1"/>
    <x v="1"/>
    <x v="36"/>
  </r>
  <r>
    <x v="150"/>
    <x v="120"/>
    <x v="145"/>
    <x v="3"/>
    <x v="0"/>
    <x v="0"/>
    <x v="1"/>
    <x v="133"/>
    <x v="147"/>
    <x v="136"/>
    <x v="135"/>
    <x v="2"/>
    <x v="1"/>
    <x v="60"/>
  </r>
  <r>
    <x v="151"/>
    <x v="121"/>
    <x v="146"/>
    <x v="1"/>
    <x v="3"/>
    <x v="9"/>
    <x v="1"/>
    <x v="134"/>
    <x v="148"/>
    <x v="137"/>
    <x v="136"/>
    <x v="1"/>
    <x v="2"/>
    <x v="47"/>
  </r>
  <r>
    <x v="152"/>
    <x v="40"/>
    <x v="147"/>
    <x v="2"/>
    <x v="3"/>
    <x v="8"/>
    <x v="1"/>
    <x v="135"/>
    <x v="149"/>
    <x v="138"/>
    <x v="137"/>
    <x v="2"/>
    <x v="0"/>
    <x v="4"/>
  </r>
  <r>
    <x v="153"/>
    <x v="99"/>
    <x v="148"/>
    <x v="4"/>
    <x v="2"/>
    <x v="12"/>
    <x v="1"/>
    <x v="136"/>
    <x v="150"/>
    <x v="139"/>
    <x v="138"/>
    <x v="1"/>
    <x v="0"/>
    <x v="17"/>
  </r>
  <r>
    <x v="154"/>
    <x v="122"/>
    <x v="149"/>
    <x v="3"/>
    <x v="1"/>
    <x v="1"/>
    <x v="1"/>
    <x v="137"/>
    <x v="151"/>
    <x v="140"/>
    <x v="139"/>
    <x v="3"/>
    <x v="1"/>
    <x v="77"/>
  </r>
  <r>
    <x v="155"/>
    <x v="123"/>
    <x v="150"/>
    <x v="2"/>
    <x v="1"/>
    <x v="14"/>
    <x v="4"/>
    <x v="138"/>
    <x v="152"/>
    <x v="141"/>
    <x v="140"/>
    <x v="0"/>
    <x v="0"/>
    <x v="0"/>
  </r>
  <r>
    <x v="156"/>
    <x v="124"/>
    <x v="151"/>
    <x v="4"/>
    <x v="3"/>
    <x v="9"/>
    <x v="1"/>
    <x v="139"/>
    <x v="153"/>
    <x v="111"/>
    <x v="141"/>
    <x v="0"/>
    <x v="1"/>
    <x v="70"/>
  </r>
  <r>
    <x v="157"/>
    <x v="57"/>
    <x v="152"/>
    <x v="0"/>
    <x v="3"/>
    <x v="9"/>
    <x v="2"/>
    <x v="128"/>
    <x v="154"/>
    <x v="142"/>
    <x v="142"/>
    <x v="0"/>
    <x v="0"/>
    <x v="7"/>
  </r>
  <r>
    <x v="158"/>
    <x v="105"/>
    <x v="6"/>
    <x v="3"/>
    <x v="2"/>
    <x v="11"/>
    <x v="3"/>
    <x v="140"/>
    <x v="155"/>
    <x v="143"/>
    <x v="11"/>
    <x v="0"/>
    <x v="2"/>
    <x v="78"/>
  </r>
  <r>
    <x v="159"/>
    <x v="60"/>
    <x v="153"/>
    <x v="1"/>
    <x v="3"/>
    <x v="8"/>
    <x v="0"/>
    <x v="141"/>
    <x v="156"/>
    <x v="103"/>
    <x v="143"/>
    <x v="1"/>
    <x v="1"/>
    <x v="60"/>
  </r>
  <r>
    <x v="160"/>
    <x v="15"/>
    <x v="154"/>
    <x v="0"/>
    <x v="2"/>
    <x v="12"/>
    <x v="3"/>
    <x v="142"/>
    <x v="157"/>
    <x v="144"/>
    <x v="144"/>
    <x v="3"/>
    <x v="1"/>
    <x v="51"/>
  </r>
  <r>
    <x v="161"/>
    <x v="125"/>
    <x v="155"/>
    <x v="1"/>
    <x v="0"/>
    <x v="3"/>
    <x v="4"/>
    <x v="143"/>
    <x v="158"/>
    <x v="145"/>
    <x v="15"/>
    <x v="2"/>
    <x v="0"/>
    <x v="3"/>
  </r>
  <r>
    <x v="162"/>
    <x v="126"/>
    <x v="156"/>
    <x v="4"/>
    <x v="0"/>
    <x v="13"/>
    <x v="0"/>
    <x v="144"/>
    <x v="159"/>
    <x v="146"/>
    <x v="145"/>
    <x v="1"/>
    <x v="0"/>
    <x v="69"/>
  </r>
  <r>
    <x v="163"/>
    <x v="127"/>
    <x v="157"/>
    <x v="2"/>
    <x v="0"/>
    <x v="13"/>
    <x v="1"/>
    <x v="0"/>
    <x v="160"/>
    <x v="147"/>
    <x v="146"/>
    <x v="0"/>
    <x v="0"/>
    <x v="79"/>
  </r>
  <r>
    <x v="164"/>
    <x v="128"/>
    <x v="143"/>
    <x v="4"/>
    <x v="2"/>
    <x v="12"/>
    <x v="4"/>
    <x v="145"/>
    <x v="161"/>
    <x v="148"/>
    <x v="147"/>
    <x v="3"/>
    <x v="2"/>
    <x v="45"/>
  </r>
  <r>
    <x v="165"/>
    <x v="129"/>
    <x v="158"/>
    <x v="1"/>
    <x v="2"/>
    <x v="12"/>
    <x v="4"/>
    <x v="146"/>
    <x v="162"/>
    <x v="149"/>
    <x v="148"/>
    <x v="1"/>
    <x v="0"/>
    <x v="80"/>
  </r>
  <r>
    <x v="166"/>
    <x v="130"/>
    <x v="159"/>
    <x v="1"/>
    <x v="0"/>
    <x v="0"/>
    <x v="0"/>
    <x v="147"/>
    <x v="163"/>
    <x v="150"/>
    <x v="149"/>
    <x v="2"/>
    <x v="1"/>
    <x v="43"/>
  </r>
  <r>
    <x v="167"/>
    <x v="131"/>
    <x v="160"/>
    <x v="4"/>
    <x v="0"/>
    <x v="13"/>
    <x v="3"/>
    <x v="148"/>
    <x v="164"/>
    <x v="151"/>
    <x v="150"/>
    <x v="1"/>
    <x v="1"/>
    <x v="3"/>
  </r>
  <r>
    <x v="168"/>
    <x v="132"/>
    <x v="161"/>
    <x v="0"/>
    <x v="3"/>
    <x v="7"/>
    <x v="2"/>
    <x v="149"/>
    <x v="165"/>
    <x v="152"/>
    <x v="151"/>
    <x v="2"/>
    <x v="1"/>
    <x v="3"/>
  </r>
  <r>
    <x v="169"/>
    <x v="133"/>
    <x v="162"/>
    <x v="2"/>
    <x v="3"/>
    <x v="8"/>
    <x v="2"/>
    <x v="150"/>
    <x v="166"/>
    <x v="153"/>
    <x v="152"/>
    <x v="0"/>
    <x v="0"/>
    <x v="64"/>
  </r>
  <r>
    <x v="170"/>
    <x v="134"/>
    <x v="163"/>
    <x v="0"/>
    <x v="3"/>
    <x v="8"/>
    <x v="4"/>
    <x v="151"/>
    <x v="167"/>
    <x v="154"/>
    <x v="153"/>
    <x v="1"/>
    <x v="2"/>
    <x v="37"/>
  </r>
  <r>
    <x v="171"/>
    <x v="135"/>
    <x v="164"/>
    <x v="3"/>
    <x v="0"/>
    <x v="0"/>
    <x v="0"/>
    <x v="123"/>
    <x v="168"/>
    <x v="155"/>
    <x v="154"/>
    <x v="0"/>
    <x v="1"/>
    <x v="81"/>
  </r>
  <r>
    <x v="172"/>
    <x v="136"/>
    <x v="115"/>
    <x v="3"/>
    <x v="1"/>
    <x v="10"/>
    <x v="1"/>
    <x v="152"/>
    <x v="169"/>
    <x v="156"/>
    <x v="155"/>
    <x v="1"/>
    <x v="1"/>
    <x v="17"/>
  </r>
  <r>
    <x v="173"/>
    <x v="137"/>
    <x v="165"/>
    <x v="1"/>
    <x v="1"/>
    <x v="6"/>
    <x v="2"/>
    <x v="148"/>
    <x v="170"/>
    <x v="157"/>
    <x v="156"/>
    <x v="1"/>
    <x v="1"/>
    <x v="16"/>
  </r>
  <r>
    <x v="174"/>
    <x v="0"/>
    <x v="166"/>
    <x v="3"/>
    <x v="0"/>
    <x v="0"/>
    <x v="3"/>
    <x v="153"/>
    <x v="171"/>
    <x v="158"/>
    <x v="157"/>
    <x v="2"/>
    <x v="0"/>
    <x v="13"/>
  </r>
  <r>
    <x v="175"/>
    <x v="138"/>
    <x v="167"/>
    <x v="3"/>
    <x v="3"/>
    <x v="9"/>
    <x v="1"/>
    <x v="154"/>
    <x v="30"/>
    <x v="159"/>
    <x v="158"/>
    <x v="0"/>
    <x v="0"/>
    <x v="81"/>
  </r>
  <r>
    <x v="176"/>
    <x v="139"/>
    <x v="168"/>
    <x v="3"/>
    <x v="3"/>
    <x v="7"/>
    <x v="0"/>
    <x v="155"/>
    <x v="172"/>
    <x v="160"/>
    <x v="159"/>
    <x v="3"/>
    <x v="2"/>
    <x v="64"/>
  </r>
  <r>
    <x v="177"/>
    <x v="140"/>
    <x v="169"/>
    <x v="0"/>
    <x v="3"/>
    <x v="7"/>
    <x v="4"/>
    <x v="156"/>
    <x v="173"/>
    <x v="161"/>
    <x v="160"/>
    <x v="2"/>
    <x v="2"/>
    <x v="73"/>
  </r>
  <r>
    <x v="178"/>
    <x v="141"/>
    <x v="170"/>
    <x v="0"/>
    <x v="2"/>
    <x v="2"/>
    <x v="1"/>
    <x v="157"/>
    <x v="174"/>
    <x v="162"/>
    <x v="161"/>
    <x v="2"/>
    <x v="1"/>
    <x v="53"/>
  </r>
  <r>
    <x v="179"/>
    <x v="10"/>
    <x v="82"/>
    <x v="3"/>
    <x v="0"/>
    <x v="3"/>
    <x v="2"/>
    <x v="158"/>
    <x v="175"/>
    <x v="163"/>
    <x v="162"/>
    <x v="3"/>
    <x v="1"/>
    <x v="20"/>
  </r>
  <r>
    <x v="180"/>
    <x v="10"/>
    <x v="93"/>
    <x v="2"/>
    <x v="0"/>
    <x v="0"/>
    <x v="2"/>
    <x v="159"/>
    <x v="176"/>
    <x v="164"/>
    <x v="163"/>
    <x v="2"/>
    <x v="2"/>
    <x v="5"/>
  </r>
  <r>
    <x v="181"/>
    <x v="142"/>
    <x v="171"/>
    <x v="1"/>
    <x v="2"/>
    <x v="11"/>
    <x v="4"/>
    <x v="160"/>
    <x v="177"/>
    <x v="165"/>
    <x v="164"/>
    <x v="2"/>
    <x v="1"/>
    <x v="8"/>
  </r>
  <r>
    <x v="182"/>
    <x v="143"/>
    <x v="172"/>
    <x v="0"/>
    <x v="0"/>
    <x v="3"/>
    <x v="0"/>
    <x v="161"/>
    <x v="178"/>
    <x v="166"/>
    <x v="165"/>
    <x v="2"/>
    <x v="0"/>
    <x v="37"/>
  </r>
  <r>
    <x v="183"/>
    <x v="144"/>
    <x v="173"/>
    <x v="4"/>
    <x v="0"/>
    <x v="13"/>
    <x v="1"/>
    <x v="162"/>
    <x v="179"/>
    <x v="167"/>
    <x v="166"/>
    <x v="3"/>
    <x v="1"/>
    <x v="4"/>
  </r>
  <r>
    <x v="184"/>
    <x v="145"/>
    <x v="174"/>
    <x v="3"/>
    <x v="0"/>
    <x v="13"/>
    <x v="2"/>
    <x v="41"/>
    <x v="180"/>
    <x v="168"/>
    <x v="167"/>
    <x v="2"/>
    <x v="0"/>
    <x v="6"/>
  </r>
  <r>
    <x v="185"/>
    <x v="146"/>
    <x v="175"/>
    <x v="1"/>
    <x v="0"/>
    <x v="0"/>
    <x v="3"/>
    <x v="48"/>
    <x v="181"/>
    <x v="157"/>
    <x v="168"/>
    <x v="0"/>
    <x v="2"/>
    <x v="1"/>
  </r>
  <r>
    <x v="186"/>
    <x v="80"/>
    <x v="176"/>
    <x v="2"/>
    <x v="0"/>
    <x v="0"/>
    <x v="1"/>
    <x v="163"/>
    <x v="182"/>
    <x v="169"/>
    <x v="169"/>
    <x v="1"/>
    <x v="0"/>
    <x v="28"/>
  </r>
  <r>
    <x v="187"/>
    <x v="147"/>
    <x v="177"/>
    <x v="1"/>
    <x v="2"/>
    <x v="12"/>
    <x v="2"/>
    <x v="20"/>
    <x v="183"/>
    <x v="170"/>
    <x v="170"/>
    <x v="0"/>
    <x v="0"/>
    <x v="19"/>
  </r>
  <r>
    <x v="188"/>
    <x v="140"/>
    <x v="178"/>
    <x v="1"/>
    <x v="1"/>
    <x v="6"/>
    <x v="3"/>
    <x v="85"/>
    <x v="184"/>
    <x v="138"/>
    <x v="171"/>
    <x v="1"/>
    <x v="1"/>
    <x v="27"/>
  </r>
  <r>
    <x v="189"/>
    <x v="121"/>
    <x v="167"/>
    <x v="1"/>
    <x v="2"/>
    <x v="2"/>
    <x v="1"/>
    <x v="164"/>
    <x v="185"/>
    <x v="134"/>
    <x v="172"/>
    <x v="1"/>
    <x v="1"/>
    <x v="82"/>
  </r>
  <r>
    <x v="190"/>
    <x v="35"/>
    <x v="179"/>
    <x v="1"/>
    <x v="3"/>
    <x v="9"/>
    <x v="4"/>
    <x v="3"/>
    <x v="186"/>
    <x v="171"/>
    <x v="173"/>
    <x v="0"/>
    <x v="1"/>
    <x v="67"/>
  </r>
  <r>
    <x v="191"/>
    <x v="148"/>
    <x v="180"/>
    <x v="4"/>
    <x v="0"/>
    <x v="13"/>
    <x v="3"/>
    <x v="158"/>
    <x v="187"/>
    <x v="172"/>
    <x v="174"/>
    <x v="1"/>
    <x v="1"/>
    <x v="67"/>
  </r>
  <r>
    <x v="192"/>
    <x v="103"/>
    <x v="181"/>
    <x v="1"/>
    <x v="2"/>
    <x v="11"/>
    <x v="2"/>
    <x v="26"/>
    <x v="100"/>
    <x v="173"/>
    <x v="175"/>
    <x v="0"/>
    <x v="1"/>
    <x v="77"/>
  </r>
  <r>
    <x v="193"/>
    <x v="149"/>
    <x v="182"/>
    <x v="4"/>
    <x v="2"/>
    <x v="4"/>
    <x v="2"/>
    <x v="165"/>
    <x v="188"/>
    <x v="174"/>
    <x v="176"/>
    <x v="1"/>
    <x v="0"/>
    <x v="78"/>
  </r>
  <r>
    <x v="194"/>
    <x v="150"/>
    <x v="183"/>
    <x v="0"/>
    <x v="1"/>
    <x v="1"/>
    <x v="1"/>
    <x v="166"/>
    <x v="189"/>
    <x v="175"/>
    <x v="177"/>
    <x v="2"/>
    <x v="2"/>
    <x v="29"/>
  </r>
  <r>
    <x v="195"/>
    <x v="151"/>
    <x v="184"/>
    <x v="3"/>
    <x v="1"/>
    <x v="1"/>
    <x v="3"/>
    <x v="167"/>
    <x v="190"/>
    <x v="176"/>
    <x v="178"/>
    <x v="3"/>
    <x v="0"/>
    <x v="60"/>
  </r>
  <r>
    <x v="196"/>
    <x v="54"/>
    <x v="185"/>
    <x v="2"/>
    <x v="3"/>
    <x v="7"/>
    <x v="4"/>
    <x v="146"/>
    <x v="162"/>
    <x v="177"/>
    <x v="179"/>
    <x v="0"/>
    <x v="1"/>
    <x v="29"/>
  </r>
  <r>
    <x v="197"/>
    <x v="152"/>
    <x v="186"/>
    <x v="1"/>
    <x v="0"/>
    <x v="0"/>
    <x v="4"/>
    <x v="168"/>
    <x v="191"/>
    <x v="178"/>
    <x v="61"/>
    <x v="2"/>
    <x v="2"/>
    <x v="40"/>
  </r>
  <r>
    <x v="198"/>
    <x v="153"/>
    <x v="187"/>
    <x v="2"/>
    <x v="2"/>
    <x v="11"/>
    <x v="3"/>
    <x v="167"/>
    <x v="190"/>
    <x v="179"/>
    <x v="180"/>
    <x v="0"/>
    <x v="0"/>
    <x v="22"/>
  </r>
  <r>
    <x v="199"/>
    <x v="154"/>
    <x v="188"/>
    <x v="4"/>
    <x v="1"/>
    <x v="10"/>
    <x v="3"/>
    <x v="169"/>
    <x v="192"/>
    <x v="180"/>
    <x v="181"/>
    <x v="2"/>
    <x v="1"/>
    <x v="41"/>
  </r>
  <r>
    <x v="200"/>
    <x v="155"/>
    <x v="189"/>
    <x v="4"/>
    <x v="1"/>
    <x v="6"/>
    <x v="2"/>
    <x v="170"/>
    <x v="193"/>
    <x v="181"/>
    <x v="182"/>
    <x v="0"/>
    <x v="2"/>
    <x v="74"/>
  </r>
  <r>
    <x v="201"/>
    <x v="106"/>
    <x v="190"/>
    <x v="2"/>
    <x v="2"/>
    <x v="11"/>
    <x v="2"/>
    <x v="171"/>
    <x v="194"/>
    <x v="182"/>
    <x v="183"/>
    <x v="1"/>
    <x v="1"/>
    <x v="80"/>
  </r>
  <r>
    <x v="202"/>
    <x v="156"/>
    <x v="191"/>
    <x v="0"/>
    <x v="0"/>
    <x v="3"/>
    <x v="4"/>
    <x v="79"/>
    <x v="195"/>
    <x v="183"/>
    <x v="32"/>
    <x v="0"/>
    <x v="1"/>
    <x v="29"/>
  </r>
  <r>
    <x v="203"/>
    <x v="157"/>
    <x v="192"/>
    <x v="4"/>
    <x v="0"/>
    <x v="3"/>
    <x v="2"/>
    <x v="172"/>
    <x v="196"/>
    <x v="184"/>
    <x v="184"/>
    <x v="3"/>
    <x v="1"/>
    <x v="30"/>
  </r>
  <r>
    <x v="204"/>
    <x v="158"/>
    <x v="193"/>
    <x v="3"/>
    <x v="0"/>
    <x v="13"/>
    <x v="0"/>
    <x v="162"/>
    <x v="197"/>
    <x v="185"/>
    <x v="185"/>
    <x v="0"/>
    <x v="1"/>
    <x v="67"/>
  </r>
  <r>
    <x v="205"/>
    <x v="159"/>
    <x v="132"/>
    <x v="4"/>
    <x v="0"/>
    <x v="13"/>
    <x v="0"/>
    <x v="173"/>
    <x v="198"/>
    <x v="186"/>
    <x v="186"/>
    <x v="3"/>
    <x v="0"/>
    <x v="1"/>
  </r>
  <r>
    <x v="206"/>
    <x v="160"/>
    <x v="194"/>
    <x v="2"/>
    <x v="3"/>
    <x v="8"/>
    <x v="3"/>
    <x v="174"/>
    <x v="199"/>
    <x v="187"/>
    <x v="187"/>
    <x v="0"/>
    <x v="2"/>
    <x v="2"/>
  </r>
  <r>
    <x v="207"/>
    <x v="161"/>
    <x v="195"/>
    <x v="3"/>
    <x v="2"/>
    <x v="5"/>
    <x v="3"/>
    <x v="141"/>
    <x v="200"/>
    <x v="188"/>
    <x v="188"/>
    <x v="1"/>
    <x v="0"/>
    <x v="36"/>
  </r>
  <r>
    <x v="208"/>
    <x v="71"/>
    <x v="196"/>
    <x v="2"/>
    <x v="3"/>
    <x v="7"/>
    <x v="2"/>
    <x v="175"/>
    <x v="201"/>
    <x v="189"/>
    <x v="189"/>
    <x v="2"/>
    <x v="1"/>
    <x v="64"/>
  </r>
  <r>
    <x v="209"/>
    <x v="162"/>
    <x v="48"/>
    <x v="1"/>
    <x v="1"/>
    <x v="14"/>
    <x v="1"/>
    <x v="176"/>
    <x v="41"/>
    <x v="190"/>
    <x v="190"/>
    <x v="3"/>
    <x v="2"/>
    <x v="11"/>
  </r>
  <r>
    <x v="210"/>
    <x v="163"/>
    <x v="29"/>
    <x v="1"/>
    <x v="2"/>
    <x v="2"/>
    <x v="1"/>
    <x v="177"/>
    <x v="202"/>
    <x v="191"/>
    <x v="191"/>
    <x v="2"/>
    <x v="2"/>
    <x v="11"/>
  </r>
  <r>
    <x v="211"/>
    <x v="164"/>
    <x v="197"/>
    <x v="3"/>
    <x v="0"/>
    <x v="0"/>
    <x v="1"/>
    <x v="169"/>
    <x v="203"/>
    <x v="192"/>
    <x v="192"/>
    <x v="1"/>
    <x v="0"/>
    <x v="4"/>
  </r>
  <r>
    <x v="212"/>
    <x v="143"/>
    <x v="198"/>
    <x v="2"/>
    <x v="0"/>
    <x v="13"/>
    <x v="0"/>
    <x v="118"/>
    <x v="131"/>
    <x v="193"/>
    <x v="193"/>
    <x v="0"/>
    <x v="2"/>
    <x v="24"/>
  </r>
  <r>
    <x v="213"/>
    <x v="45"/>
    <x v="199"/>
    <x v="3"/>
    <x v="0"/>
    <x v="3"/>
    <x v="0"/>
    <x v="80"/>
    <x v="86"/>
    <x v="194"/>
    <x v="35"/>
    <x v="2"/>
    <x v="1"/>
    <x v="52"/>
  </r>
  <r>
    <x v="214"/>
    <x v="164"/>
    <x v="200"/>
    <x v="1"/>
    <x v="0"/>
    <x v="0"/>
    <x v="0"/>
    <x v="178"/>
    <x v="204"/>
    <x v="195"/>
    <x v="194"/>
    <x v="2"/>
    <x v="2"/>
    <x v="74"/>
  </r>
  <r>
    <x v="215"/>
    <x v="165"/>
    <x v="201"/>
    <x v="2"/>
    <x v="3"/>
    <x v="8"/>
    <x v="3"/>
    <x v="98"/>
    <x v="205"/>
    <x v="196"/>
    <x v="195"/>
    <x v="2"/>
    <x v="0"/>
    <x v="76"/>
  </r>
  <r>
    <x v="216"/>
    <x v="166"/>
    <x v="202"/>
    <x v="3"/>
    <x v="3"/>
    <x v="9"/>
    <x v="4"/>
    <x v="179"/>
    <x v="206"/>
    <x v="197"/>
    <x v="196"/>
    <x v="2"/>
    <x v="0"/>
    <x v="1"/>
  </r>
  <r>
    <x v="217"/>
    <x v="2"/>
    <x v="203"/>
    <x v="4"/>
    <x v="3"/>
    <x v="9"/>
    <x v="3"/>
    <x v="180"/>
    <x v="207"/>
    <x v="198"/>
    <x v="197"/>
    <x v="2"/>
    <x v="1"/>
    <x v="48"/>
  </r>
  <r>
    <x v="218"/>
    <x v="121"/>
    <x v="204"/>
    <x v="4"/>
    <x v="2"/>
    <x v="2"/>
    <x v="0"/>
    <x v="181"/>
    <x v="208"/>
    <x v="199"/>
    <x v="198"/>
    <x v="3"/>
    <x v="2"/>
    <x v="51"/>
  </r>
  <r>
    <x v="219"/>
    <x v="109"/>
    <x v="205"/>
    <x v="4"/>
    <x v="2"/>
    <x v="5"/>
    <x v="0"/>
    <x v="182"/>
    <x v="209"/>
    <x v="200"/>
    <x v="199"/>
    <x v="3"/>
    <x v="1"/>
    <x v="55"/>
  </r>
  <r>
    <x v="220"/>
    <x v="167"/>
    <x v="206"/>
    <x v="0"/>
    <x v="3"/>
    <x v="7"/>
    <x v="3"/>
    <x v="71"/>
    <x v="76"/>
    <x v="201"/>
    <x v="200"/>
    <x v="3"/>
    <x v="0"/>
    <x v="11"/>
  </r>
  <r>
    <x v="221"/>
    <x v="139"/>
    <x v="55"/>
    <x v="4"/>
    <x v="3"/>
    <x v="7"/>
    <x v="3"/>
    <x v="183"/>
    <x v="173"/>
    <x v="202"/>
    <x v="201"/>
    <x v="3"/>
    <x v="2"/>
    <x v="16"/>
  </r>
  <r>
    <x v="222"/>
    <x v="157"/>
    <x v="207"/>
    <x v="0"/>
    <x v="3"/>
    <x v="7"/>
    <x v="3"/>
    <x v="184"/>
    <x v="210"/>
    <x v="203"/>
    <x v="202"/>
    <x v="2"/>
    <x v="0"/>
    <x v="83"/>
  </r>
  <r>
    <x v="223"/>
    <x v="48"/>
    <x v="208"/>
    <x v="1"/>
    <x v="1"/>
    <x v="10"/>
    <x v="1"/>
    <x v="185"/>
    <x v="211"/>
    <x v="204"/>
    <x v="203"/>
    <x v="3"/>
    <x v="2"/>
    <x v="25"/>
  </r>
  <r>
    <x v="224"/>
    <x v="161"/>
    <x v="209"/>
    <x v="0"/>
    <x v="3"/>
    <x v="8"/>
    <x v="0"/>
    <x v="61"/>
    <x v="212"/>
    <x v="205"/>
    <x v="204"/>
    <x v="0"/>
    <x v="0"/>
    <x v="19"/>
  </r>
  <r>
    <x v="225"/>
    <x v="168"/>
    <x v="210"/>
    <x v="2"/>
    <x v="1"/>
    <x v="6"/>
    <x v="3"/>
    <x v="186"/>
    <x v="149"/>
    <x v="206"/>
    <x v="115"/>
    <x v="1"/>
    <x v="2"/>
    <x v="68"/>
  </r>
  <r>
    <x v="226"/>
    <x v="14"/>
    <x v="211"/>
    <x v="1"/>
    <x v="1"/>
    <x v="6"/>
    <x v="4"/>
    <x v="82"/>
    <x v="88"/>
    <x v="90"/>
    <x v="205"/>
    <x v="3"/>
    <x v="2"/>
    <x v="34"/>
  </r>
  <r>
    <x v="227"/>
    <x v="62"/>
    <x v="212"/>
    <x v="0"/>
    <x v="2"/>
    <x v="5"/>
    <x v="2"/>
    <x v="187"/>
    <x v="213"/>
    <x v="172"/>
    <x v="129"/>
    <x v="2"/>
    <x v="2"/>
    <x v="63"/>
  </r>
  <r>
    <x v="228"/>
    <x v="169"/>
    <x v="213"/>
    <x v="2"/>
    <x v="0"/>
    <x v="0"/>
    <x v="0"/>
    <x v="188"/>
    <x v="214"/>
    <x v="207"/>
    <x v="206"/>
    <x v="0"/>
    <x v="1"/>
    <x v="40"/>
  </r>
  <r>
    <x v="229"/>
    <x v="54"/>
    <x v="214"/>
    <x v="1"/>
    <x v="1"/>
    <x v="14"/>
    <x v="0"/>
    <x v="189"/>
    <x v="215"/>
    <x v="208"/>
    <x v="207"/>
    <x v="3"/>
    <x v="0"/>
    <x v="84"/>
  </r>
  <r>
    <x v="230"/>
    <x v="15"/>
    <x v="215"/>
    <x v="3"/>
    <x v="3"/>
    <x v="9"/>
    <x v="3"/>
    <x v="190"/>
    <x v="216"/>
    <x v="209"/>
    <x v="208"/>
    <x v="2"/>
    <x v="1"/>
    <x v="45"/>
  </r>
  <r>
    <x v="231"/>
    <x v="170"/>
    <x v="216"/>
    <x v="3"/>
    <x v="0"/>
    <x v="0"/>
    <x v="2"/>
    <x v="191"/>
    <x v="217"/>
    <x v="210"/>
    <x v="209"/>
    <x v="3"/>
    <x v="0"/>
    <x v="12"/>
  </r>
  <r>
    <x v="232"/>
    <x v="147"/>
    <x v="217"/>
    <x v="3"/>
    <x v="1"/>
    <x v="14"/>
    <x v="0"/>
    <x v="192"/>
    <x v="218"/>
    <x v="211"/>
    <x v="210"/>
    <x v="3"/>
    <x v="1"/>
    <x v="8"/>
  </r>
  <r>
    <x v="233"/>
    <x v="143"/>
    <x v="218"/>
    <x v="0"/>
    <x v="2"/>
    <x v="2"/>
    <x v="1"/>
    <x v="106"/>
    <x v="219"/>
    <x v="212"/>
    <x v="211"/>
    <x v="1"/>
    <x v="0"/>
    <x v="45"/>
  </r>
  <r>
    <x v="234"/>
    <x v="171"/>
    <x v="219"/>
    <x v="4"/>
    <x v="3"/>
    <x v="7"/>
    <x v="0"/>
    <x v="193"/>
    <x v="220"/>
    <x v="213"/>
    <x v="212"/>
    <x v="0"/>
    <x v="1"/>
    <x v="2"/>
  </r>
  <r>
    <x v="235"/>
    <x v="28"/>
    <x v="220"/>
    <x v="1"/>
    <x v="0"/>
    <x v="13"/>
    <x v="1"/>
    <x v="194"/>
    <x v="221"/>
    <x v="214"/>
    <x v="42"/>
    <x v="3"/>
    <x v="2"/>
    <x v="20"/>
  </r>
  <r>
    <x v="236"/>
    <x v="172"/>
    <x v="133"/>
    <x v="0"/>
    <x v="3"/>
    <x v="8"/>
    <x v="1"/>
    <x v="4"/>
    <x v="222"/>
    <x v="66"/>
    <x v="210"/>
    <x v="1"/>
    <x v="1"/>
    <x v="28"/>
  </r>
  <r>
    <x v="237"/>
    <x v="173"/>
    <x v="221"/>
    <x v="4"/>
    <x v="2"/>
    <x v="12"/>
    <x v="1"/>
    <x v="195"/>
    <x v="223"/>
    <x v="215"/>
    <x v="11"/>
    <x v="2"/>
    <x v="2"/>
    <x v="75"/>
  </r>
  <r>
    <x v="238"/>
    <x v="124"/>
    <x v="222"/>
    <x v="2"/>
    <x v="0"/>
    <x v="3"/>
    <x v="1"/>
    <x v="196"/>
    <x v="224"/>
    <x v="216"/>
    <x v="213"/>
    <x v="2"/>
    <x v="0"/>
    <x v="18"/>
  </r>
  <r>
    <x v="239"/>
    <x v="7"/>
    <x v="66"/>
    <x v="1"/>
    <x v="0"/>
    <x v="3"/>
    <x v="0"/>
    <x v="92"/>
    <x v="101"/>
    <x v="217"/>
    <x v="214"/>
    <x v="0"/>
    <x v="1"/>
    <x v="70"/>
  </r>
  <r>
    <x v="240"/>
    <x v="174"/>
    <x v="223"/>
    <x v="0"/>
    <x v="2"/>
    <x v="5"/>
    <x v="2"/>
    <x v="197"/>
    <x v="225"/>
    <x v="218"/>
    <x v="215"/>
    <x v="1"/>
    <x v="0"/>
    <x v="52"/>
  </r>
  <r>
    <x v="241"/>
    <x v="175"/>
    <x v="224"/>
    <x v="4"/>
    <x v="3"/>
    <x v="9"/>
    <x v="0"/>
    <x v="198"/>
    <x v="226"/>
    <x v="219"/>
    <x v="216"/>
    <x v="3"/>
    <x v="1"/>
    <x v="1"/>
  </r>
  <r>
    <x v="242"/>
    <x v="176"/>
    <x v="225"/>
    <x v="2"/>
    <x v="1"/>
    <x v="6"/>
    <x v="4"/>
    <x v="191"/>
    <x v="227"/>
    <x v="220"/>
    <x v="217"/>
    <x v="2"/>
    <x v="1"/>
    <x v="48"/>
  </r>
  <r>
    <x v="243"/>
    <x v="62"/>
    <x v="24"/>
    <x v="3"/>
    <x v="3"/>
    <x v="7"/>
    <x v="3"/>
    <x v="0"/>
    <x v="228"/>
    <x v="221"/>
    <x v="218"/>
    <x v="1"/>
    <x v="0"/>
    <x v="38"/>
  </r>
  <r>
    <x v="244"/>
    <x v="177"/>
    <x v="226"/>
    <x v="3"/>
    <x v="2"/>
    <x v="11"/>
    <x v="2"/>
    <x v="123"/>
    <x v="138"/>
    <x v="222"/>
    <x v="219"/>
    <x v="3"/>
    <x v="0"/>
    <x v="63"/>
  </r>
  <r>
    <x v="245"/>
    <x v="138"/>
    <x v="227"/>
    <x v="2"/>
    <x v="1"/>
    <x v="6"/>
    <x v="2"/>
    <x v="199"/>
    <x v="229"/>
    <x v="223"/>
    <x v="220"/>
    <x v="2"/>
    <x v="0"/>
    <x v="66"/>
  </r>
  <r>
    <x v="246"/>
    <x v="26"/>
    <x v="177"/>
    <x v="0"/>
    <x v="3"/>
    <x v="7"/>
    <x v="1"/>
    <x v="200"/>
    <x v="230"/>
    <x v="224"/>
    <x v="221"/>
    <x v="0"/>
    <x v="0"/>
    <x v="85"/>
  </r>
  <r>
    <x v="247"/>
    <x v="87"/>
    <x v="228"/>
    <x v="0"/>
    <x v="1"/>
    <x v="14"/>
    <x v="4"/>
    <x v="201"/>
    <x v="231"/>
    <x v="225"/>
    <x v="132"/>
    <x v="2"/>
    <x v="0"/>
    <x v="78"/>
  </r>
  <r>
    <x v="248"/>
    <x v="178"/>
    <x v="54"/>
    <x v="1"/>
    <x v="2"/>
    <x v="11"/>
    <x v="4"/>
    <x v="202"/>
    <x v="232"/>
    <x v="226"/>
    <x v="222"/>
    <x v="1"/>
    <x v="0"/>
    <x v="46"/>
  </r>
  <r>
    <x v="249"/>
    <x v="179"/>
    <x v="229"/>
    <x v="0"/>
    <x v="1"/>
    <x v="6"/>
    <x v="3"/>
    <x v="174"/>
    <x v="199"/>
    <x v="227"/>
    <x v="223"/>
    <x v="2"/>
    <x v="1"/>
    <x v="53"/>
  </r>
  <r>
    <x v="250"/>
    <x v="180"/>
    <x v="230"/>
    <x v="2"/>
    <x v="0"/>
    <x v="3"/>
    <x v="4"/>
    <x v="203"/>
    <x v="233"/>
    <x v="228"/>
    <x v="224"/>
    <x v="2"/>
    <x v="1"/>
    <x v="86"/>
  </r>
  <r>
    <x v="251"/>
    <x v="174"/>
    <x v="162"/>
    <x v="3"/>
    <x v="1"/>
    <x v="6"/>
    <x v="4"/>
    <x v="204"/>
    <x v="234"/>
    <x v="229"/>
    <x v="225"/>
    <x v="1"/>
    <x v="1"/>
    <x v="87"/>
  </r>
  <r>
    <x v="252"/>
    <x v="181"/>
    <x v="231"/>
    <x v="4"/>
    <x v="0"/>
    <x v="3"/>
    <x v="4"/>
    <x v="205"/>
    <x v="235"/>
    <x v="230"/>
    <x v="226"/>
    <x v="3"/>
    <x v="1"/>
    <x v="45"/>
  </r>
  <r>
    <x v="253"/>
    <x v="152"/>
    <x v="232"/>
    <x v="4"/>
    <x v="0"/>
    <x v="13"/>
    <x v="1"/>
    <x v="24"/>
    <x v="236"/>
    <x v="231"/>
    <x v="227"/>
    <x v="1"/>
    <x v="2"/>
    <x v="23"/>
  </r>
  <r>
    <x v="254"/>
    <x v="16"/>
    <x v="233"/>
    <x v="3"/>
    <x v="0"/>
    <x v="13"/>
    <x v="1"/>
    <x v="13"/>
    <x v="237"/>
    <x v="232"/>
    <x v="228"/>
    <x v="0"/>
    <x v="0"/>
    <x v="85"/>
  </r>
  <r>
    <x v="255"/>
    <x v="132"/>
    <x v="234"/>
    <x v="4"/>
    <x v="2"/>
    <x v="5"/>
    <x v="4"/>
    <x v="131"/>
    <x v="238"/>
    <x v="233"/>
    <x v="229"/>
    <x v="0"/>
    <x v="1"/>
    <x v="28"/>
  </r>
  <r>
    <x v="256"/>
    <x v="2"/>
    <x v="235"/>
    <x v="4"/>
    <x v="2"/>
    <x v="2"/>
    <x v="3"/>
    <x v="100"/>
    <x v="239"/>
    <x v="234"/>
    <x v="230"/>
    <x v="1"/>
    <x v="1"/>
    <x v="4"/>
  </r>
  <r>
    <x v="257"/>
    <x v="4"/>
    <x v="236"/>
    <x v="0"/>
    <x v="0"/>
    <x v="13"/>
    <x v="4"/>
    <x v="83"/>
    <x v="240"/>
    <x v="235"/>
    <x v="231"/>
    <x v="1"/>
    <x v="1"/>
    <x v="17"/>
  </r>
  <r>
    <x v="258"/>
    <x v="182"/>
    <x v="237"/>
    <x v="3"/>
    <x v="2"/>
    <x v="2"/>
    <x v="1"/>
    <x v="206"/>
    <x v="241"/>
    <x v="236"/>
    <x v="164"/>
    <x v="2"/>
    <x v="0"/>
    <x v="33"/>
  </r>
  <r>
    <x v="259"/>
    <x v="183"/>
    <x v="238"/>
    <x v="2"/>
    <x v="0"/>
    <x v="0"/>
    <x v="1"/>
    <x v="186"/>
    <x v="242"/>
    <x v="13"/>
    <x v="232"/>
    <x v="3"/>
    <x v="1"/>
    <x v="14"/>
  </r>
  <r>
    <x v="260"/>
    <x v="184"/>
    <x v="239"/>
    <x v="3"/>
    <x v="0"/>
    <x v="3"/>
    <x v="3"/>
    <x v="187"/>
    <x v="243"/>
    <x v="237"/>
    <x v="233"/>
    <x v="1"/>
    <x v="0"/>
    <x v="58"/>
  </r>
  <r>
    <x v="261"/>
    <x v="185"/>
    <x v="240"/>
    <x v="3"/>
    <x v="0"/>
    <x v="3"/>
    <x v="2"/>
    <x v="23"/>
    <x v="244"/>
    <x v="238"/>
    <x v="234"/>
    <x v="1"/>
    <x v="0"/>
    <x v="88"/>
  </r>
  <r>
    <x v="262"/>
    <x v="186"/>
    <x v="241"/>
    <x v="3"/>
    <x v="2"/>
    <x v="12"/>
    <x v="2"/>
    <x v="207"/>
    <x v="245"/>
    <x v="239"/>
    <x v="235"/>
    <x v="3"/>
    <x v="1"/>
    <x v="18"/>
  </r>
  <r>
    <x v="263"/>
    <x v="187"/>
    <x v="242"/>
    <x v="2"/>
    <x v="1"/>
    <x v="1"/>
    <x v="4"/>
    <x v="208"/>
    <x v="246"/>
    <x v="240"/>
    <x v="211"/>
    <x v="1"/>
    <x v="0"/>
    <x v="40"/>
  </r>
  <r>
    <x v="264"/>
    <x v="82"/>
    <x v="243"/>
    <x v="2"/>
    <x v="2"/>
    <x v="4"/>
    <x v="1"/>
    <x v="209"/>
    <x v="171"/>
    <x v="138"/>
    <x v="236"/>
    <x v="1"/>
    <x v="2"/>
    <x v="86"/>
  </r>
  <r>
    <x v="265"/>
    <x v="127"/>
    <x v="244"/>
    <x v="0"/>
    <x v="0"/>
    <x v="13"/>
    <x v="0"/>
    <x v="210"/>
    <x v="247"/>
    <x v="241"/>
    <x v="237"/>
    <x v="1"/>
    <x v="1"/>
    <x v="31"/>
  </r>
  <r>
    <x v="266"/>
    <x v="188"/>
    <x v="193"/>
    <x v="1"/>
    <x v="0"/>
    <x v="3"/>
    <x v="4"/>
    <x v="211"/>
    <x v="248"/>
    <x v="242"/>
    <x v="238"/>
    <x v="3"/>
    <x v="0"/>
    <x v="80"/>
  </r>
  <r>
    <x v="267"/>
    <x v="47"/>
    <x v="245"/>
    <x v="3"/>
    <x v="3"/>
    <x v="7"/>
    <x v="2"/>
    <x v="162"/>
    <x v="249"/>
    <x v="243"/>
    <x v="239"/>
    <x v="2"/>
    <x v="0"/>
    <x v="44"/>
  </r>
  <r>
    <x v="268"/>
    <x v="178"/>
    <x v="246"/>
    <x v="4"/>
    <x v="0"/>
    <x v="3"/>
    <x v="1"/>
    <x v="117"/>
    <x v="250"/>
    <x v="244"/>
    <x v="240"/>
    <x v="0"/>
    <x v="1"/>
    <x v="8"/>
  </r>
  <r>
    <x v="269"/>
    <x v="182"/>
    <x v="247"/>
    <x v="4"/>
    <x v="2"/>
    <x v="4"/>
    <x v="0"/>
    <x v="147"/>
    <x v="163"/>
    <x v="245"/>
    <x v="241"/>
    <x v="0"/>
    <x v="1"/>
    <x v="89"/>
  </r>
  <r>
    <x v="270"/>
    <x v="45"/>
    <x v="248"/>
    <x v="0"/>
    <x v="3"/>
    <x v="7"/>
    <x v="2"/>
    <x v="212"/>
    <x v="251"/>
    <x v="246"/>
    <x v="242"/>
    <x v="2"/>
    <x v="1"/>
    <x v="67"/>
  </r>
  <r>
    <x v="271"/>
    <x v="189"/>
    <x v="249"/>
    <x v="2"/>
    <x v="2"/>
    <x v="2"/>
    <x v="4"/>
    <x v="213"/>
    <x v="252"/>
    <x v="247"/>
    <x v="243"/>
    <x v="2"/>
    <x v="0"/>
    <x v="47"/>
  </r>
  <r>
    <x v="272"/>
    <x v="190"/>
    <x v="250"/>
    <x v="0"/>
    <x v="3"/>
    <x v="9"/>
    <x v="1"/>
    <x v="214"/>
    <x v="253"/>
    <x v="30"/>
    <x v="136"/>
    <x v="0"/>
    <x v="1"/>
    <x v="90"/>
  </r>
  <r>
    <x v="273"/>
    <x v="191"/>
    <x v="251"/>
    <x v="4"/>
    <x v="3"/>
    <x v="7"/>
    <x v="2"/>
    <x v="181"/>
    <x v="254"/>
    <x v="248"/>
    <x v="176"/>
    <x v="2"/>
    <x v="0"/>
    <x v="54"/>
  </r>
  <r>
    <x v="274"/>
    <x v="192"/>
    <x v="252"/>
    <x v="2"/>
    <x v="1"/>
    <x v="6"/>
    <x v="1"/>
    <x v="174"/>
    <x v="255"/>
    <x v="249"/>
    <x v="244"/>
    <x v="0"/>
    <x v="2"/>
    <x v="26"/>
  </r>
  <r>
    <x v="275"/>
    <x v="193"/>
    <x v="76"/>
    <x v="4"/>
    <x v="1"/>
    <x v="14"/>
    <x v="4"/>
    <x v="81"/>
    <x v="87"/>
    <x v="250"/>
    <x v="245"/>
    <x v="2"/>
    <x v="1"/>
    <x v="11"/>
  </r>
  <r>
    <x v="276"/>
    <x v="194"/>
    <x v="253"/>
    <x v="0"/>
    <x v="0"/>
    <x v="0"/>
    <x v="2"/>
    <x v="215"/>
    <x v="256"/>
    <x v="251"/>
    <x v="246"/>
    <x v="3"/>
    <x v="2"/>
    <x v="91"/>
  </r>
  <r>
    <x v="277"/>
    <x v="127"/>
    <x v="254"/>
    <x v="1"/>
    <x v="3"/>
    <x v="8"/>
    <x v="2"/>
    <x v="216"/>
    <x v="257"/>
    <x v="252"/>
    <x v="247"/>
    <x v="0"/>
    <x v="0"/>
    <x v="81"/>
  </r>
  <r>
    <x v="278"/>
    <x v="162"/>
    <x v="213"/>
    <x v="0"/>
    <x v="0"/>
    <x v="3"/>
    <x v="1"/>
    <x v="217"/>
    <x v="258"/>
    <x v="237"/>
    <x v="248"/>
    <x v="3"/>
    <x v="1"/>
    <x v="42"/>
  </r>
  <r>
    <x v="279"/>
    <x v="195"/>
    <x v="255"/>
    <x v="4"/>
    <x v="1"/>
    <x v="6"/>
    <x v="1"/>
    <x v="127"/>
    <x v="42"/>
    <x v="253"/>
    <x v="249"/>
    <x v="1"/>
    <x v="0"/>
    <x v="13"/>
  </r>
  <r>
    <x v="280"/>
    <x v="196"/>
    <x v="256"/>
    <x v="1"/>
    <x v="2"/>
    <x v="12"/>
    <x v="4"/>
    <x v="218"/>
    <x v="259"/>
    <x v="254"/>
    <x v="250"/>
    <x v="2"/>
    <x v="0"/>
    <x v="70"/>
  </r>
  <r>
    <x v="281"/>
    <x v="116"/>
    <x v="257"/>
    <x v="3"/>
    <x v="0"/>
    <x v="13"/>
    <x v="1"/>
    <x v="219"/>
    <x v="260"/>
    <x v="255"/>
    <x v="251"/>
    <x v="3"/>
    <x v="2"/>
    <x v="17"/>
  </r>
  <r>
    <x v="282"/>
    <x v="197"/>
    <x v="258"/>
    <x v="0"/>
    <x v="3"/>
    <x v="7"/>
    <x v="3"/>
    <x v="157"/>
    <x v="261"/>
    <x v="256"/>
    <x v="252"/>
    <x v="0"/>
    <x v="1"/>
    <x v="10"/>
  </r>
  <r>
    <x v="283"/>
    <x v="144"/>
    <x v="259"/>
    <x v="0"/>
    <x v="2"/>
    <x v="5"/>
    <x v="3"/>
    <x v="220"/>
    <x v="262"/>
    <x v="153"/>
    <x v="253"/>
    <x v="2"/>
    <x v="1"/>
    <x v="60"/>
  </r>
  <r>
    <x v="284"/>
    <x v="198"/>
    <x v="260"/>
    <x v="2"/>
    <x v="3"/>
    <x v="9"/>
    <x v="1"/>
    <x v="221"/>
    <x v="263"/>
    <x v="257"/>
    <x v="254"/>
    <x v="1"/>
    <x v="0"/>
    <x v="12"/>
  </r>
  <r>
    <x v="285"/>
    <x v="61"/>
    <x v="261"/>
    <x v="2"/>
    <x v="3"/>
    <x v="9"/>
    <x v="1"/>
    <x v="222"/>
    <x v="264"/>
    <x v="258"/>
    <x v="255"/>
    <x v="3"/>
    <x v="2"/>
    <x v="63"/>
  </r>
  <r>
    <x v="286"/>
    <x v="199"/>
    <x v="262"/>
    <x v="0"/>
    <x v="2"/>
    <x v="4"/>
    <x v="0"/>
    <x v="223"/>
    <x v="265"/>
    <x v="259"/>
    <x v="256"/>
    <x v="2"/>
    <x v="0"/>
    <x v="92"/>
  </r>
  <r>
    <x v="287"/>
    <x v="7"/>
    <x v="263"/>
    <x v="1"/>
    <x v="3"/>
    <x v="7"/>
    <x v="4"/>
    <x v="76"/>
    <x v="266"/>
    <x v="260"/>
    <x v="109"/>
    <x v="2"/>
    <x v="1"/>
    <x v="47"/>
  </r>
  <r>
    <x v="288"/>
    <x v="198"/>
    <x v="185"/>
    <x v="0"/>
    <x v="3"/>
    <x v="8"/>
    <x v="0"/>
    <x v="224"/>
    <x v="267"/>
    <x v="261"/>
    <x v="257"/>
    <x v="0"/>
    <x v="1"/>
    <x v="40"/>
  </r>
  <r>
    <x v="289"/>
    <x v="165"/>
    <x v="264"/>
    <x v="2"/>
    <x v="1"/>
    <x v="10"/>
    <x v="2"/>
    <x v="225"/>
    <x v="268"/>
    <x v="262"/>
    <x v="258"/>
    <x v="3"/>
    <x v="2"/>
    <x v="86"/>
  </r>
  <r>
    <x v="290"/>
    <x v="51"/>
    <x v="265"/>
    <x v="1"/>
    <x v="0"/>
    <x v="3"/>
    <x v="1"/>
    <x v="226"/>
    <x v="269"/>
    <x v="263"/>
    <x v="259"/>
    <x v="1"/>
    <x v="2"/>
    <x v="83"/>
  </r>
  <r>
    <x v="291"/>
    <x v="157"/>
    <x v="35"/>
    <x v="3"/>
    <x v="3"/>
    <x v="8"/>
    <x v="3"/>
    <x v="227"/>
    <x v="270"/>
    <x v="264"/>
    <x v="260"/>
    <x v="2"/>
    <x v="1"/>
    <x v="93"/>
  </r>
  <r>
    <x v="292"/>
    <x v="200"/>
    <x v="266"/>
    <x v="3"/>
    <x v="0"/>
    <x v="0"/>
    <x v="4"/>
    <x v="228"/>
    <x v="271"/>
    <x v="265"/>
    <x v="261"/>
    <x v="2"/>
    <x v="1"/>
    <x v="1"/>
  </r>
  <r>
    <x v="293"/>
    <x v="55"/>
    <x v="267"/>
    <x v="3"/>
    <x v="1"/>
    <x v="14"/>
    <x v="0"/>
    <x v="44"/>
    <x v="272"/>
    <x v="266"/>
    <x v="262"/>
    <x v="3"/>
    <x v="1"/>
    <x v="40"/>
  </r>
  <r>
    <x v="294"/>
    <x v="201"/>
    <x v="122"/>
    <x v="4"/>
    <x v="0"/>
    <x v="13"/>
    <x v="2"/>
    <x v="12"/>
    <x v="12"/>
    <x v="267"/>
    <x v="263"/>
    <x v="1"/>
    <x v="0"/>
    <x v="86"/>
  </r>
  <r>
    <x v="295"/>
    <x v="202"/>
    <x v="268"/>
    <x v="2"/>
    <x v="3"/>
    <x v="9"/>
    <x v="2"/>
    <x v="75"/>
    <x v="273"/>
    <x v="268"/>
    <x v="264"/>
    <x v="1"/>
    <x v="0"/>
    <x v="57"/>
  </r>
  <r>
    <x v="296"/>
    <x v="203"/>
    <x v="269"/>
    <x v="2"/>
    <x v="0"/>
    <x v="3"/>
    <x v="4"/>
    <x v="75"/>
    <x v="80"/>
    <x v="269"/>
    <x v="265"/>
    <x v="0"/>
    <x v="1"/>
    <x v="52"/>
  </r>
  <r>
    <x v="297"/>
    <x v="204"/>
    <x v="270"/>
    <x v="0"/>
    <x v="0"/>
    <x v="13"/>
    <x v="0"/>
    <x v="229"/>
    <x v="274"/>
    <x v="270"/>
    <x v="266"/>
    <x v="0"/>
    <x v="2"/>
    <x v="17"/>
  </r>
  <r>
    <x v="298"/>
    <x v="91"/>
    <x v="271"/>
    <x v="3"/>
    <x v="3"/>
    <x v="7"/>
    <x v="3"/>
    <x v="230"/>
    <x v="275"/>
    <x v="271"/>
    <x v="92"/>
    <x v="2"/>
    <x v="0"/>
    <x v="94"/>
  </r>
  <r>
    <x v="299"/>
    <x v="197"/>
    <x v="272"/>
    <x v="4"/>
    <x v="2"/>
    <x v="11"/>
    <x v="2"/>
    <x v="231"/>
    <x v="276"/>
    <x v="272"/>
    <x v="181"/>
    <x v="1"/>
    <x v="2"/>
    <x v="15"/>
  </r>
  <r>
    <x v="300"/>
    <x v="205"/>
    <x v="273"/>
    <x v="4"/>
    <x v="0"/>
    <x v="3"/>
    <x v="4"/>
    <x v="232"/>
    <x v="277"/>
    <x v="273"/>
    <x v="267"/>
    <x v="3"/>
    <x v="0"/>
    <x v="70"/>
  </r>
  <r>
    <x v="301"/>
    <x v="206"/>
    <x v="274"/>
    <x v="1"/>
    <x v="2"/>
    <x v="12"/>
    <x v="0"/>
    <x v="233"/>
    <x v="278"/>
    <x v="274"/>
    <x v="268"/>
    <x v="3"/>
    <x v="2"/>
    <x v="21"/>
  </r>
  <r>
    <x v="302"/>
    <x v="207"/>
    <x v="275"/>
    <x v="1"/>
    <x v="0"/>
    <x v="3"/>
    <x v="1"/>
    <x v="223"/>
    <x v="279"/>
    <x v="275"/>
    <x v="269"/>
    <x v="3"/>
    <x v="2"/>
    <x v="1"/>
  </r>
  <r>
    <x v="303"/>
    <x v="208"/>
    <x v="276"/>
    <x v="0"/>
    <x v="3"/>
    <x v="9"/>
    <x v="2"/>
    <x v="171"/>
    <x v="194"/>
    <x v="276"/>
    <x v="270"/>
    <x v="2"/>
    <x v="1"/>
    <x v="79"/>
  </r>
  <r>
    <x v="304"/>
    <x v="207"/>
    <x v="277"/>
    <x v="2"/>
    <x v="1"/>
    <x v="14"/>
    <x v="2"/>
    <x v="234"/>
    <x v="280"/>
    <x v="277"/>
    <x v="271"/>
    <x v="3"/>
    <x v="1"/>
    <x v="26"/>
  </r>
  <r>
    <x v="305"/>
    <x v="136"/>
    <x v="278"/>
    <x v="1"/>
    <x v="3"/>
    <x v="8"/>
    <x v="1"/>
    <x v="235"/>
    <x v="281"/>
    <x v="234"/>
    <x v="138"/>
    <x v="0"/>
    <x v="2"/>
    <x v="71"/>
  </r>
  <r>
    <x v="306"/>
    <x v="209"/>
    <x v="197"/>
    <x v="1"/>
    <x v="3"/>
    <x v="7"/>
    <x v="2"/>
    <x v="5"/>
    <x v="5"/>
    <x v="278"/>
    <x v="272"/>
    <x v="2"/>
    <x v="2"/>
    <x v="85"/>
  </r>
  <r>
    <x v="307"/>
    <x v="210"/>
    <x v="279"/>
    <x v="3"/>
    <x v="2"/>
    <x v="5"/>
    <x v="3"/>
    <x v="8"/>
    <x v="282"/>
    <x v="279"/>
    <x v="273"/>
    <x v="1"/>
    <x v="0"/>
    <x v="18"/>
  </r>
  <r>
    <x v="308"/>
    <x v="211"/>
    <x v="105"/>
    <x v="4"/>
    <x v="1"/>
    <x v="6"/>
    <x v="2"/>
    <x v="236"/>
    <x v="283"/>
    <x v="280"/>
    <x v="274"/>
    <x v="0"/>
    <x v="2"/>
    <x v="22"/>
  </r>
  <r>
    <x v="309"/>
    <x v="31"/>
    <x v="266"/>
    <x v="4"/>
    <x v="2"/>
    <x v="4"/>
    <x v="4"/>
    <x v="237"/>
    <x v="284"/>
    <x v="281"/>
    <x v="157"/>
    <x v="0"/>
    <x v="0"/>
    <x v="71"/>
  </r>
  <r>
    <x v="310"/>
    <x v="210"/>
    <x v="280"/>
    <x v="3"/>
    <x v="2"/>
    <x v="2"/>
    <x v="4"/>
    <x v="238"/>
    <x v="285"/>
    <x v="282"/>
    <x v="275"/>
    <x v="3"/>
    <x v="1"/>
    <x v="45"/>
  </r>
  <r>
    <x v="311"/>
    <x v="212"/>
    <x v="281"/>
    <x v="1"/>
    <x v="3"/>
    <x v="9"/>
    <x v="4"/>
    <x v="211"/>
    <x v="248"/>
    <x v="283"/>
    <x v="276"/>
    <x v="3"/>
    <x v="1"/>
    <x v="5"/>
  </r>
  <r>
    <x v="312"/>
    <x v="125"/>
    <x v="282"/>
    <x v="1"/>
    <x v="2"/>
    <x v="2"/>
    <x v="4"/>
    <x v="60"/>
    <x v="64"/>
    <x v="284"/>
    <x v="266"/>
    <x v="1"/>
    <x v="2"/>
    <x v="84"/>
  </r>
  <r>
    <x v="313"/>
    <x v="174"/>
    <x v="283"/>
    <x v="0"/>
    <x v="0"/>
    <x v="13"/>
    <x v="2"/>
    <x v="239"/>
    <x v="286"/>
    <x v="12"/>
    <x v="277"/>
    <x v="0"/>
    <x v="2"/>
    <x v="55"/>
  </r>
  <r>
    <x v="314"/>
    <x v="213"/>
    <x v="284"/>
    <x v="0"/>
    <x v="0"/>
    <x v="0"/>
    <x v="2"/>
    <x v="93"/>
    <x v="102"/>
    <x v="285"/>
    <x v="107"/>
    <x v="3"/>
    <x v="1"/>
    <x v="17"/>
  </r>
  <r>
    <x v="315"/>
    <x v="6"/>
    <x v="285"/>
    <x v="0"/>
    <x v="1"/>
    <x v="14"/>
    <x v="4"/>
    <x v="240"/>
    <x v="287"/>
    <x v="286"/>
    <x v="278"/>
    <x v="3"/>
    <x v="1"/>
    <x v="46"/>
  </r>
  <r>
    <x v="316"/>
    <x v="214"/>
    <x v="286"/>
    <x v="2"/>
    <x v="0"/>
    <x v="0"/>
    <x v="0"/>
    <x v="241"/>
    <x v="288"/>
    <x v="287"/>
    <x v="279"/>
    <x v="0"/>
    <x v="2"/>
    <x v="2"/>
  </r>
  <r>
    <x v="317"/>
    <x v="78"/>
    <x v="287"/>
    <x v="3"/>
    <x v="2"/>
    <x v="4"/>
    <x v="4"/>
    <x v="100"/>
    <x v="108"/>
    <x v="288"/>
    <x v="280"/>
    <x v="2"/>
    <x v="1"/>
    <x v="13"/>
  </r>
  <r>
    <x v="318"/>
    <x v="157"/>
    <x v="288"/>
    <x v="0"/>
    <x v="3"/>
    <x v="7"/>
    <x v="4"/>
    <x v="89"/>
    <x v="289"/>
    <x v="289"/>
    <x v="281"/>
    <x v="0"/>
    <x v="2"/>
    <x v="83"/>
  </r>
  <r>
    <x v="319"/>
    <x v="215"/>
    <x v="99"/>
    <x v="1"/>
    <x v="3"/>
    <x v="7"/>
    <x v="2"/>
    <x v="242"/>
    <x v="290"/>
    <x v="290"/>
    <x v="235"/>
    <x v="1"/>
    <x v="0"/>
    <x v="3"/>
  </r>
  <r>
    <x v="320"/>
    <x v="216"/>
    <x v="271"/>
    <x v="2"/>
    <x v="2"/>
    <x v="2"/>
    <x v="4"/>
    <x v="243"/>
    <x v="291"/>
    <x v="291"/>
    <x v="282"/>
    <x v="3"/>
    <x v="1"/>
    <x v="76"/>
  </r>
  <r>
    <x v="321"/>
    <x v="217"/>
    <x v="289"/>
    <x v="2"/>
    <x v="2"/>
    <x v="5"/>
    <x v="0"/>
    <x v="244"/>
    <x v="292"/>
    <x v="292"/>
    <x v="283"/>
    <x v="0"/>
    <x v="2"/>
    <x v="95"/>
  </r>
  <r>
    <x v="322"/>
    <x v="176"/>
    <x v="290"/>
    <x v="2"/>
    <x v="3"/>
    <x v="8"/>
    <x v="3"/>
    <x v="35"/>
    <x v="293"/>
    <x v="293"/>
    <x v="284"/>
    <x v="2"/>
    <x v="2"/>
    <x v="5"/>
  </r>
  <r>
    <x v="323"/>
    <x v="218"/>
    <x v="291"/>
    <x v="0"/>
    <x v="2"/>
    <x v="11"/>
    <x v="3"/>
    <x v="245"/>
    <x v="294"/>
    <x v="294"/>
    <x v="29"/>
    <x v="1"/>
    <x v="2"/>
    <x v="91"/>
  </r>
  <r>
    <x v="324"/>
    <x v="155"/>
    <x v="292"/>
    <x v="0"/>
    <x v="0"/>
    <x v="0"/>
    <x v="1"/>
    <x v="246"/>
    <x v="295"/>
    <x v="257"/>
    <x v="285"/>
    <x v="1"/>
    <x v="1"/>
    <x v="70"/>
  </r>
  <r>
    <x v="325"/>
    <x v="41"/>
    <x v="293"/>
    <x v="1"/>
    <x v="3"/>
    <x v="8"/>
    <x v="4"/>
    <x v="247"/>
    <x v="296"/>
    <x v="295"/>
    <x v="286"/>
    <x v="2"/>
    <x v="1"/>
    <x v="9"/>
  </r>
  <r>
    <x v="326"/>
    <x v="219"/>
    <x v="294"/>
    <x v="3"/>
    <x v="1"/>
    <x v="1"/>
    <x v="2"/>
    <x v="109"/>
    <x v="119"/>
    <x v="296"/>
    <x v="287"/>
    <x v="2"/>
    <x v="2"/>
    <x v="31"/>
  </r>
  <r>
    <x v="327"/>
    <x v="51"/>
    <x v="295"/>
    <x v="0"/>
    <x v="0"/>
    <x v="3"/>
    <x v="3"/>
    <x v="177"/>
    <x v="297"/>
    <x v="297"/>
    <x v="288"/>
    <x v="0"/>
    <x v="1"/>
    <x v="22"/>
  </r>
  <r>
    <x v="328"/>
    <x v="73"/>
    <x v="296"/>
    <x v="4"/>
    <x v="0"/>
    <x v="3"/>
    <x v="0"/>
    <x v="28"/>
    <x v="298"/>
    <x v="186"/>
    <x v="289"/>
    <x v="1"/>
    <x v="2"/>
    <x v="55"/>
  </r>
  <r>
    <x v="329"/>
    <x v="153"/>
    <x v="297"/>
    <x v="2"/>
    <x v="3"/>
    <x v="9"/>
    <x v="0"/>
    <x v="80"/>
    <x v="86"/>
    <x v="298"/>
    <x v="47"/>
    <x v="1"/>
    <x v="2"/>
    <x v="10"/>
  </r>
  <r>
    <x v="330"/>
    <x v="67"/>
    <x v="298"/>
    <x v="3"/>
    <x v="0"/>
    <x v="13"/>
    <x v="2"/>
    <x v="35"/>
    <x v="299"/>
    <x v="299"/>
    <x v="290"/>
    <x v="2"/>
    <x v="2"/>
    <x v="7"/>
  </r>
  <r>
    <x v="331"/>
    <x v="220"/>
    <x v="249"/>
    <x v="2"/>
    <x v="3"/>
    <x v="9"/>
    <x v="2"/>
    <x v="248"/>
    <x v="300"/>
    <x v="300"/>
    <x v="291"/>
    <x v="3"/>
    <x v="0"/>
    <x v="65"/>
  </r>
  <r>
    <x v="332"/>
    <x v="221"/>
    <x v="299"/>
    <x v="3"/>
    <x v="2"/>
    <x v="2"/>
    <x v="2"/>
    <x v="69"/>
    <x v="74"/>
    <x v="301"/>
    <x v="292"/>
    <x v="2"/>
    <x v="0"/>
    <x v="64"/>
  </r>
  <r>
    <x v="333"/>
    <x v="222"/>
    <x v="300"/>
    <x v="1"/>
    <x v="0"/>
    <x v="0"/>
    <x v="4"/>
    <x v="91"/>
    <x v="301"/>
    <x v="302"/>
    <x v="293"/>
    <x v="0"/>
    <x v="2"/>
    <x v="70"/>
  </r>
  <r>
    <x v="334"/>
    <x v="119"/>
    <x v="301"/>
    <x v="0"/>
    <x v="1"/>
    <x v="14"/>
    <x v="0"/>
    <x v="249"/>
    <x v="302"/>
    <x v="303"/>
    <x v="294"/>
    <x v="2"/>
    <x v="1"/>
    <x v="51"/>
  </r>
  <r>
    <x v="335"/>
    <x v="136"/>
    <x v="302"/>
    <x v="1"/>
    <x v="3"/>
    <x v="9"/>
    <x v="1"/>
    <x v="250"/>
    <x v="303"/>
    <x v="304"/>
    <x v="262"/>
    <x v="2"/>
    <x v="0"/>
    <x v="60"/>
  </r>
  <r>
    <x v="336"/>
    <x v="116"/>
    <x v="303"/>
    <x v="1"/>
    <x v="1"/>
    <x v="10"/>
    <x v="3"/>
    <x v="251"/>
    <x v="304"/>
    <x v="305"/>
    <x v="295"/>
    <x v="3"/>
    <x v="1"/>
    <x v="6"/>
  </r>
  <r>
    <x v="337"/>
    <x v="77"/>
    <x v="304"/>
    <x v="0"/>
    <x v="0"/>
    <x v="3"/>
    <x v="0"/>
    <x v="252"/>
    <x v="305"/>
    <x v="306"/>
    <x v="296"/>
    <x v="0"/>
    <x v="1"/>
    <x v="61"/>
  </r>
  <r>
    <x v="338"/>
    <x v="126"/>
    <x v="305"/>
    <x v="1"/>
    <x v="3"/>
    <x v="8"/>
    <x v="4"/>
    <x v="253"/>
    <x v="54"/>
    <x v="307"/>
    <x v="297"/>
    <x v="2"/>
    <x v="0"/>
    <x v="84"/>
  </r>
  <r>
    <x v="339"/>
    <x v="86"/>
    <x v="306"/>
    <x v="2"/>
    <x v="2"/>
    <x v="4"/>
    <x v="3"/>
    <x v="254"/>
    <x v="306"/>
    <x v="308"/>
    <x v="298"/>
    <x v="3"/>
    <x v="0"/>
    <x v="83"/>
  </r>
  <r>
    <x v="340"/>
    <x v="223"/>
    <x v="170"/>
    <x v="0"/>
    <x v="3"/>
    <x v="9"/>
    <x v="4"/>
    <x v="255"/>
    <x v="307"/>
    <x v="309"/>
    <x v="299"/>
    <x v="3"/>
    <x v="0"/>
    <x v="57"/>
  </r>
  <r>
    <x v="341"/>
    <x v="78"/>
    <x v="307"/>
    <x v="3"/>
    <x v="1"/>
    <x v="1"/>
    <x v="4"/>
    <x v="256"/>
    <x v="308"/>
    <x v="310"/>
    <x v="0"/>
    <x v="0"/>
    <x v="1"/>
    <x v="75"/>
  </r>
  <r>
    <x v="342"/>
    <x v="224"/>
    <x v="308"/>
    <x v="2"/>
    <x v="1"/>
    <x v="6"/>
    <x v="4"/>
    <x v="249"/>
    <x v="309"/>
    <x v="311"/>
    <x v="300"/>
    <x v="1"/>
    <x v="1"/>
    <x v="67"/>
  </r>
  <r>
    <x v="343"/>
    <x v="65"/>
    <x v="309"/>
    <x v="4"/>
    <x v="0"/>
    <x v="13"/>
    <x v="3"/>
    <x v="8"/>
    <x v="282"/>
    <x v="312"/>
    <x v="278"/>
    <x v="2"/>
    <x v="2"/>
    <x v="22"/>
  </r>
  <r>
    <x v="344"/>
    <x v="197"/>
    <x v="310"/>
    <x v="0"/>
    <x v="3"/>
    <x v="8"/>
    <x v="1"/>
    <x v="214"/>
    <x v="253"/>
    <x v="313"/>
    <x v="301"/>
    <x v="0"/>
    <x v="0"/>
    <x v="43"/>
  </r>
  <r>
    <x v="345"/>
    <x v="225"/>
    <x v="311"/>
    <x v="2"/>
    <x v="0"/>
    <x v="3"/>
    <x v="4"/>
    <x v="257"/>
    <x v="310"/>
    <x v="314"/>
    <x v="302"/>
    <x v="3"/>
    <x v="2"/>
    <x v="29"/>
  </r>
  <r>
    <x v="346"/>
    <x v="226"/>
    <x v="312"/>
    <x v="4"/>
    <x v="2"/>
    <x v="4"/>
    <x v="0"/>
    <x v="165"/>
    <x v="311"/>
    <x v="315"/>
    <x v="303"/>
    <x v="2"/>
    <x v="2"/>
    <x v="74"/>
  </r>
  <r>
    <x v="347"/>
    <x v="227"/>
    <x v="313"/>
    <x v="1"/>
    <x v="2"/>
    <x v="4"/>
    <x v="2"/>
    <x v="243"/>
    <x v="312"/>
    <x v="316"/>
    <x v="304"/>
    <x v="3"/>
    <x v="1"/>
    <x v="2"/>
  </r>
  <r>
    <x v="348"/>
    <x v="228"/>
    <x v="314"/>
    <x v="4"/>
    <x v="3"/>
    <x v="8"/>
    <x v="1"/>
    <x v="66"/>
    <x v="313"/>
    <x v="317"/>
    <x v="305"/>
    <x v="1"/>
    <x v="0"/>
    <x v="60"/>
  </r>
  <r>
    <x v="349"/>
    <x v="193"/>
    <x v="315"/>
    <x v="1"/>
    <x v="0"/>
    <x v="3"/>
    <x v="1"/>
    <x v="258"/>
    <x v="314"/>
    <x v="318"/>
    <x v="104"/>
    <x v="1"/>
    <x v="1"/>
    <x v="12"/>
  </r>
  <r>
    <x v="350"/>
    <x v="229"/>
    <x v="316"/>
    <x v="4"/>
    <x v="1"/>
    <x v="1"/>
    <x v="1"/>
    <x v="259"/>
    <x v="315"/>
    <x v="319"/>
    <x v="306"/>
    <x v="3"/>
    <x v="0"/>
    <x v="51"/>
  </r>
  <r>
    <x v="351"/>
    <x v="103"/>
    <x v="211"/>
    <x v="0"/>
    <x v="1"/>
    <x v="14"/>
    <x v="0"/>
    <x v="260"/>
    <x v="316"/>
    <x v="38"/>
    <x v="104"/>
    <x v="1"/>
    <x v="0"/>
    <x v="81"/>
  </r>
  <r>
    <x v="352"/>
    <x v="165"/>
    <x v="317"/>
    <x v="4"/>
    <x v="0"/>
    <x v="13"/>
    <x v="4"/>
    <x v="103"/>
    <x v="317"/>
    <x v="320"/>
    <x v="307"/>
    <x v="2"/>
    <x v="2"/>
    <x v="24"/>
  </r>
  <r>
    <x v="353"/>
    <x v="230"/>
    <x v="318"/>
    <x v="1"/>
    <x v="0"/>
    <x v="13"/>
    <x v="1"/>
    <x v="261"/>
    <x v="318"/>
    <x v="275"/>
    <x v="169"/>
    <x v="0"/>
    <x v="0"/>
    <x v="52"/>
  </r>
  <r>
    <x v="354"/>
    <x v="142"/>
    <x v="47"/>
    <x v="0"/>
    <x v="0"/>
    <x v="0"/>
    <x v="2"/>
    <x v="29"/>
    <x v="29"/>
    <x v="108"/>
    <x v="152"/>
    <x v="3"/>
    <x v="1"/>
    <x v="39"/>
  </r>
  <r>
    <x v="355"/>
    <x v="231"/>
    <x v="319"/>
    <x v="0"/>
    <x v="0"/>
    <x v="13"/>
    <x v="1"/>
    <x v="262"/>
    <x v="319"/>
    <x v="253"/>
    <x v="308"/>
    <x v="1"/>
    <x v="1"/>
    <x v="3"/>
  </r>
  <r>
    <x v="356"/>
    <x v="232"/>
    <x v="320"/>
    <x v="3"/>
    <x v="3"/>
    <x v="8"/>
    <x v="4"/>
    <x v="263"/>
    <x v="320"/>
    <x v="321"/>
    <x v="309"/>
    <x v="0"/>
    <x v="0"/>
    <x v="74"/>
  </r>
  <r>
    <x v="357"/>
    <x v="80"/>
    <x v="321"/>
    <x v="2"/>
    <x v="3"/>
    <x v="7"/>
    <x v="4"/>
    <x v="264"/>
    <x v="321"/>
    <x v="322"/>
    <x v="149"/>
    <x v="0"/>
    <x v="1"/>
    <x v="61"/>
  </r>
  <r>
    <x v="358"/>
    <x v="177"/>
    <x v="66"/>
    <x v="4"/>
    <x v="1"/>
    <x v="6"/>
    <x v="0"/>
    <x v="265"/>
    <x v="322"/>
    <x v="48"/>
    <x v="310"/>
    <x v="0"/>
    <x v="1"/>
    <x v="61"/>
  </r>
  <r>
    <x v="359"/>
    <x v="60"/>
    <x v="322"/>
    <x v="1"/>
    <x v="0"/>
    <x v="0"/>
    <x v="0"/>
    <x v="113"/>
    <x v="323"/>
    <x v="323"/>
    <x v="311"/>
    <x v="1"/>
    <x v="2"/>
    <x v="3"/>
  </r>
  <r>
    <x v="360"/>
    <x v="233"/>
    <x v="323"/>
    <x v="4"/>
    <x v="0"/>
    <x v="13"/>
    <x v="2"/>
    <x v="266"/>
    <x v="324"/>
    <x v="324"/>
    <x v="236"/>
    <x v="0"/>
    <x v="2"/>
    <x v="72"/>
  </r>
  <r>
    <x v="361"/>
    <x v="48"/>
    <x v="324"/>
    <x v="1"/>
    <x v="2"/>
    <x v="2"/>
    <x v="4"/>
    <x v="267"/>
    <x v="325"/>
    <x v="325"/>
    <x v="312"/>
    <x v="3"/>
    <x v="1"/>
    <x v="18"/>
  </r>
  <r>
    <x v="362"/>
    <x v="234"/>
    <x v="325"/>
    <x v="1"/>
    <x v="3"/>
    <x v="8"/>
    <x v="4"/>
    <x v="268"/>
    <x v="326"/>
    <x v="326"/>
    <x v="102"/>
    <x v="0"/>
    <x v="2"/>
    <x v="39"/>
  </r>
  <r>
    <x v="363"/>
    <x v="235"/>
    <x v="326"/>
    <x v="4"/>
    <x v="0"/>
    <x v="0"/>
    <x v="2"/>
    <x v="248"/>
    <x v="300"/>
    <x v="78"/>
    <x v="23"/>
    <x v="2"/>
    <x v="2"/>
    <x v="91"/>
  </r>
  <r>
    <x v="364"/>
    <x v="153"/>
    <x v="327"/>
    <x v="3"/>
    <x v="3"/>
    <x v="9"/>
    <x v="3"/>
    <x v="154"/>
    <x v="327"/>
    <x v="157"/>
    <x v="313"/>
    <x v="1"/>
    <x v="2"/>
    <x v="13"/>
  </r>
  <r>
    <x v="365"/>
    <x v="236"/>
    <x v="88"/>
    <x v="4"/>
    <x v="0"/>
    <x v="13"/>
    <x v="3"/>
    <x v="269"/>
    <x v="328"/>
    <x v="327"/>
    <x v="314"/>
    <x v="1"/>
    <x v="0"/>
    <x v="12"/>
  </r>
  <r>
    <x v="366"/>
    <x v="96"/>
    <x v="328"/>
    <x v="1"/>
    <x v="1"/>
    <x v="10"/>
    <x v="3"/>
    <x v="270"/>
    <x v="329"/>
    <x v="328"/>
    <x v="178"/>
    <x v="1"/>
    <x v="2"/>
    <x v="69"/>
  </r>
  <r>
    <x v="367"/>
    <x v="237"/>
    <x v="329"/>
    <x v="3"/>
    <x v="1"/>
    <x v="6"/>
    <x v="4"/>
    <x v="201"/>
    <x v="231"/>
    <x v="149"/>
    <x v="315"/>
    <x v="0"/>
    <x v="0"/>
    <x v="12"/>
  </r>
  <r>
    <x v="368"/>
    <x v="127"/>
    <x v="330"/>
    <x v="4"/>
    <x v="1"/>
    <x v="10"/>
    <x v="3"/>
    <x v="271"/>
    <x v="330"/>
    <x v="329"/>
    <x v="316"/>
    <x v="1"/>
    <x v="1"/>
    <x v="64"/>
  </r>
  <r>
    <x v="369"/>
    <x v="175"/>
    <x v="331"/>
    <x v="4"/>
    <x v="1"/>
    <x v="1"/>
    <x v="3"/>
    <x v="272"/>
    <x v="331"/>
    <x v="330"/>
    <x v="317"/>
    <x v="2"/>
    <x v="1"/>
    <x v="27"/>
  </r>
  <r>
    <x v="370"/>
    <x v="23"/>
    <x v="332"/>
    <x v="2"/>
    <x v="1"/>
    <x v="14"/>
    <x v="4"/>
    <x v="273"/>
    <x v="332"/>
    <x v="331"/>
    <x v="318"/>
    <x v="1"/>
    <x v="1"/>
    <x v="71"/>
  </r>
  <r>
    <x v="371"/>
    <x v="238"/>
    <x v="333"/>
    <x v="3"/>
    <x v="3"/>
    <x v="8"/>
    <x v="2"/>
    <x v="262"/>
    <x v="333"/>
    <x v="332"/>
    <x v="319"/>
    <x v="0"/>
    <x v="1"/>
    <x v="14"/>
  </r>
  <r>
    <x v="372"/>
    <x v="199"/>
    <x v="247"/>
    <x v="4"/>
    <x v="2"/>
    <x v="11"/>
    <x v="2"/>
    <x v="274"/>
    <x v="334"/>
    <x v="333"/>
    <x v="27"/>
    <x v="3"/>
    <x v="0"/>
    <x v="27"/>
  </r>
  <r>
    <x v="373"/>
    <x v="179"/>
    <x v="50"/>
    <x v="2"/>
    <x v="2"/>
    <x v="11"/>
    <x v="3"/>
    <x v="191"/>
    <x v="335"/>
    <x v="334"/>
    <x v="320"/>
    <x v="3"/>
    <x v="0"/>
    <x v="91"/>
  </r>
  <r>
    <x v="374"/>
    <x v="148"/>
    <x v="334"/>
    <x v="1"/>
    <x v="1"/>
    <x v="1"/>
    <x v="4"/>
    <x v="275"/>
    <x v="336"/>
    <x v="335"/>
    <x v="321"/>
    <x v="1"/>
    <x v="2"/>
    <x v="45"/>
  </r>
  <r>
    <x v="375"/>
    <x v="239"/>
    <x v="335"/>
    <x v="3"/>
    <x v="3"/>
    <x v="7"/>
    <x v="0"/>
    <x v="38"/>
    <x v="337"/>
    <x v="336"/>
    <x v="322"/>
    <x v="2"/>
    <x v="1"/>
    <x v="13"/>
  </r>
  <r>
    <x v="376"/>
    <x v="79"/>
    <x v="30"/>
    <x v="3"/>
    <x v="1"/>
    <x v="6"/>
    <x v="3"/>
    <x v="276"/>
    <x v="338"/>
    <x v="337"/>
    <x v="323"/>
    <x v="1"/>
    <x v="1"/>
    <x v="80"/>
  </r>
  <r>
    <x v="377"/>
    <x v="14"/>
    <x v="336"/>
    <x v="3"/>
    <x v="0"/>
    <x v="0"/>
    <x v="0"/>
    <x v="141"/>
    <x v="156"/>
    <x v="338"/>
    <x v="324"/>
    <x v="3"/>
    <x v="0"/>
    <x v="7"/>
  </r>
  <r>
    <x v="378"/>
    <x v="160"/>
    <x v="337"/>
    <x v="4"/>
    <x v="1"/>
    <x v="6"/>
    <x v="1"/>
    <x v="58"/>
    <x v="62"/>
    <x v="339"/>
    <x v="325"/>
    <x v="3"/>
    <x v="2"/>
    <x v="8"/>
  </r>
  <r>
    <x v="379"/>
    <x v="194"/>
    <x v="338"/>
    <x v="0"/>
    <x v="3"/>
    <x v="9"/>
    <x v="2"/>
    <x v="94"/>
    <x v="339"/>
    <x v="340"/>
    <x v="43"/>
    <x v="1"/>
    <x v="0"/>
    <x v="48"/>
  </r>
  <r>
    <x v="380"/>
    <x v="196"/>
    <x v="211"/>
    <x v="4"/>
    <x v="1"/>
    <x v="10"/>
    <x v="0"/>
    <x v="123"/>
    <x v="168"/>
    <x v="341"/>
    <x v="326"/>
    <x v="1"/>
    <x v="2"/>
    <x v="0"/>
  </r>
  <r>
    <x v="381"/>
    <x v="240"/>
    <x v="339"/>
    <x v="2"/>
    <x v="2"/>
    <x v="2"/>
    <x v="2"/>
    <x v="277"/>
    <x v="340"/>
    <x v="342"/>
    <x v="327"/>
    <x v="2"/>
    <x v="1"/>
    <x v="61"/>
  </r>
  <r>
    <x v="382"/>
    <x v="241"/>
    <x v="191"/>
    <x v="4"/>
    <x v="3"/>
    <x v="9"/>
    <x v="4"/>
    <x v="191"/>
    <x v="227"/>
    <x v="343"/>
    <x v="328"/>
    <x v="0"/>
    <x v="2"/>
    <x v="49"/>
  </r>
  <r>
    <x v="383"/>
    <x v="227"/>
    <x v="340"/>
    <x v="1"/>
    <x v="3"/>
    <x v="9"/>
    <x v="4"/>
    <x v="278"/>
    <x v="341"/>
    <x v="330"/>
    <x v="329"/>
    <x v="1"/>
    <x v="2"/>
    <x v="24"/>
  </r>
  <r>
    <x v="384"/>
    <x v="171"/>
    <x v="341"/>
    <x v="0"/>
    <x v="0"/>
    <x v="13"/>
    <x v="3"/>
    <x v="235"/>
    <x v="342"/>
    <x v="344"/>
    <x v="80"/>
    <x v="0"/>
    <x v="0"/>
    <x v="31"/>
  </r>
  <r>
    <x v="385"/>
    <x v="27"/>
    <x v="342"/>
    <x v="4"/>
    <x v="2"/>
    <x v="11"/>
    <x v="4"/>
    <x v="161"/>
    <x v="343"/>
    <x v="249"/>
    <x v="330"/>
    <x v="1"/>
    <x v="1"/>
    <x v="49"/>
  </r>
  <r>
    <x v="386"/>
    <x v="242"/>
    <x v="343"/>
    <x v="4"/>
    <x v="2"/>
    <x v="4"/>
    <x v="4"/>
    <x v="42"/>
    <x v="344"/>
    <x v="345"/>
    <x v="331"/>
    <x v="3"/>
    <x v="1"/>
    <x v="38"/>
  </r>
  <r>
    <x v="387"/>
    <x v="110"/>
    <x v="260"/>
    <x v="3"/>
    <x v="0"/>
    <x v="3"/>
    <x v="1"/>
    <x v="279"/>
    <x v="345"/>
    <x v="346"/>
    <x v="332"/>
    <x v="1"/>
    <x v="0"/>
    <x v="22"/>
  </r>
  <r>
    <x v="388"/>
    <x v="71"/>
    <x v="344"/>
    <x v="4"/>
    <x v="0"/>
    <x v="13"/>
    <x v="3"/>
    <x v="8"/>
    <x v="282"/>
    <x v="347"/>
    <x v="251"/>
    <x v="2"/>
    <x v="2"/>
    <x v="96"/>
  </r>
  <r>
    <x v="389"/>
    <x v="243"/>
    <x v="55"/>
    <x v="1"/>
    <x v="3"/>
    <x v="9"/>
    <x v="2"/>
    <x v="280"/>
    <x v="346"/>
    <x v="348"/>
    <x v="175"/>
    <x v="1"/>
    <x v="0"/>
    <x v="63"/>
  </r>
  <r>
    <x v="390"/>
    <x v="99"/>
    <x v="345"/>
    <x v="2"/>
    <x v="1"/>
    <x v="6"/>
    <x v="1"/>
    <x v="281"/>
    <x v="347"/>
    <x v="349"/>
    <x v="333"/>
    <x v="2"/>
    <x v="0"/>
    <x v="63"/>
  </r>
  <r>
    <x v="391"/>
    <x v="17"/>
    <x v="346"/>
    <x v="1"/>
    <x v="3"/>
    <x v="8"/>
    <x v="4"/>
    <x v="282"/>
    <x v="348"/>
    <x v="350"/>
    <x v="334"/>
    <x v="1"/>
    <x v="0"/>
    <x v="87"/>
  </r>
  <r>
    <x v="392"/>
    <x v="112"/>
    <x v="347"/>
    <x v="0"/>
    <x v="0"/>
    <x v="0"/>
    <x v="3"/>
    <x v="238"/>
    <x v="349"/>
    <x v="351"/>
    <x v="243"/>
    <x v="1"/>
    <x v="1"/>
    <x v="6"/>
  </r>
  <r>
    <x v="393"/>
    <x v="65"/>
    <x v="348"/>
    <x v="3"/>
    <x v="2"/>
    <x v="4"/>
    <x v="0"/>
    <x v="283"/>
    <x v="350"/>
    <x v="352"/>
    <x v="335"/>
    <x v="1"/>
    <x v="2"/>
    <x v="13"/>
  </r>
  <r>
    <x v="394"/>
    <x v="5"/>
    <x v="349"/>
    <x v="0"/>
    <x v="1"/>
    <x v="1"/>
    <x v="0"/>
    <x v="206"/>
    <x v="351"/>
    <x v="353"/>
    <x v="336"/>
    <x v="0"/>
    <x v="1"/>
    <x v="10"/>
  </r>
  <r>
    <x v="395"/>
    <x v="231"/>
    <x v="350"/>
    <x v="0"/>
    <x v="2"/>
    <x v="5"/>
    <x v="2"/>
    <x v="127"/>
    <x v="141"/>
    <x v="354"/>
    <x v="156"/>
    <x v="3"/>
    <x v="2"/>
    <x v="37"/>
  </r>
  <r>
    <x v="396"/>
    <x v="41"/>
    <x v="351"/>
    <x v="4"/>
    <x v="3"/>
    <x v="9"/>
    <x v="4"/>
    <x v="128"/>
    <x v="352"/>
    <x v="355"/>
    <x v="186"/>
    <x v="3"/>
    <x v="2"/>
    <x v="85"/>
  </r>
  <r>
    <x v="397"/>
    <x v="244"/>
    <x v="352"/>
    <x v="1"/>
    <x v="0"/>
    <x v="3"/>
    <x v="1"/>
    <x v="224"/>
    <x v="353"/>
    <x v="11"/>
    <x v="63"/>
    <x v="1"/>
    <x v="0"/>
    <x v="47"/>
  </r>
  <r>
    <x v="398"/>
    <x v="46"/>
    <x v="353"/>
    <x v="2"/>
    <x v="2"/>
    <x v="11"/>
    <x v="2"/>
    <x v="284"/>
    <x v="354"/>
    <x v="356"/>
    <x v="337"/>
    <x v="2"/>
    <x v="2"/>
    <x v="92"/>
  </r>
  <r>
    <x v="399"/>
    <x v="237"/>
    <x v="354"/>
    <x v="4"/>
    <x v="1"/>
    <x v="14"/>
    <x v="0"/>
    <x v="188"/>
    <x v="214"/>
    <x v="357"/>
    <x v="98"/>
    <x v="3"/>
    <x v="2"/>
    <x v="19"/>
  </r>
  <r>
    <x v="400"/>
    <x v="45"/>
    <x v="200"/>
    <x v="2"/>
    <x v="2"/>
    <x v="11"/>
    <x v="3"/>
    <x v="169"/>
    <x v="192"/>
    <x v="358"/>
    <x v="338"/>
    <x v="2"/>
    <x v="2"/>
    <x v="3"/>
  </r>
  <r>
    <x v="401"/>
    <x v="245"/>
    <x v="355"/>
    <x v="2"/>
    <x v="3"/>
    <x v="8"/>
    <x v="1"/>
    <x v="115"/>
    <x v="355"/>
    <x v="359"/>
    <x v="133"/>
    <x v="2"/>
    <x v="2"/>
    <x v="82"/>
  </r>
  <r>
    <x v="402"/>
    <x v="227"/>
    <x v="328"/>
    <x v="0"/>
    <x v="1"/>
    <x v="10"/>
    <x v="0"/>
    <x v="285"/>
    <x v="356"/>
    <x v="360"/>
    <x v="339"/>
    <x v="0"/>
    <x v="0"/>
    <x v="62"/>
  </r>
  <r>
    <x v="403"/>
    <x v="96"/>
    <x v="356"/>
    <x v="3"/>
    <x v="2"/>
    <x v="5"/>
    <x v="1"/>
    <x v="146"/>
    <x v="357"/>
    <x v="361"/>
    <x v="231"/>
    <x v="3"/>
    <x v="1"/>
    <x v="90"/>
  </r>
  <r>
    <x v="404"/>
    <x v="193"/>
    <x v="357"/>
    <x v="3"/>
    <x v="0"/>
    <x v="3"/>
    <x v="3"/>
    <x v="286"/>
    <x v="250"/>
    <x v="362"/>
    <x v="340"/>
    <x v="3"/>
    <x v="2"/>
    <x v="75"/>
  </r>
  <r>
    <x v="405"/>
    <x v="18"/>
    <x v="358"/>
    <x v="4"/>
    <x v="2"/>
    <x v="12"/>
    <x v="3"/>
    <x v="287"/>
    <x v="358"/>
    <x v="363"/>
    <x v="77"/>
    <x v="1"/>
    <x v="2"/>
    <x v="45"/>
  </r>
  <r>
    <x v="406"/>
    <x v="5"/>
    <x v="359"/>
    <x v="2"/>
    <x v="1"/>
    <x v="6"/>
    <x v="1"/>
    <x v="288"/>
    <x v="359"/>
    <x v="364"/>
    <x v="341"/>
    <x v="3"/>
    <x v="1"/>
    <x v="9"/>
  </r>
  <r>
    <x v="407"/>
    <x v="32"/>
    <x v="360"/>
    <x v="4"/>
    <x v="2"/>
    <x v="5"/>
    <x v="0"/>
    <x v="289"/>
    <x v="360"/>
    <x v="365"/>
    <x v="342"/>
    <x v="2"/>
    <x v="2"/>
    <x v="43"/>
  </r>
  <r>
    <x v="408"/>
    <x v="161"/>
    <x v="245"/>
    <x v="3"/>
    <x v="2"/>
    <x v="4"/>
    <x v="2"/>
    <x v="290"/>
    <x v="361"/>
    <x v="366"/>
    <x v="343"/>
    <x v="1"/>
    <x v="2"/>
    <x v="76"/>
  </r>
  <r>
    <x v="409"/>
    <x v="131"/>
    <x v="198"/>
    <x v="1"/>
    <x v="3"/>
    <x v="7"/>
    <x v="0"/>
    <x v="188"/>
    <x v="214"/>
    <x v="367"/>
    <x v="344"/>
    <x v="2"/>
    <x v="0"/>
    <x v="8"/>
  </r>
  <r>
    <x v="410"/>
    <x v="7"/>
    <x v="361"/>
    <x v="1"/>
    <x v="1"/>
    <x v="1"/>
    <x v="2"/>
    <x v="228"/>
    <x v="362"/>
    <x v="182"/>
    <x v="345"/>
    <x v="1"/>
    <x v="0"/>
    <x v="3"/>
  </r>
  <r>
    <x v="411"/>
    <x v="246"/>
    <x v="362"/>
    <x v="4"/>
    <x v="3"/>
    <x v="7"/>
    <x v="4"/>
    <x v="278"/>
    <x v="341"/>
    <x v="368"/>
    <x v="86"/>
    <x v="0"/>
    <x v="2"/>
    <x v="43"/>
  </r>
  <r>
    <x v="412"/>
    <x v="247"/>
    <x v="363"/>
    <x v="1"/>
    <x v="0"/>
    <x v="3"/>
    <x v="2"/>
    <x v="92"/>
    <x v="363"/>
    <x v="369"/>
    <x v="346"/>
    <x v="2"/>
    <x v="2"/>
    <x v="54"/>
  </r>
  <r>
    <x v="413"/>
    <x v="248"/>
    <x v="364"/>
    <x v="2"/>
    <x v="3"/>
    <x v="9"/>
    <x v="4"/>
    <x v="249"/>
    <x v="309"/>
    <x v="370"/>
    <x v="347"/>
    <x v="0"/>
    <x v="2"/>
    <x v="75"/>
  </r>
  <r>
    <x v="414"/>
    <x v="120"/>
    <x v="365"/>
    <x v="1"/>
    <x v="2"/>
    <x v="12"/>
    <x v="3"/>
    <x v="291"/>
    <x v="364"/>
    <x v="371"/>
    <x v="348"/>
    <x v="3"/>
    <x v="0"/>
    <x v="19"/>
  </r>
  <r>
    <x v="415"/>
    <x v="134"/>
    <x v="259"/>
    <x v="4"/>
    <x v="0"/>
    <x v="13"/>
    <x v="0"/>
    <x v="292"/>
    <x v="365"/>
    <x v="372"/>
    <x v="349"/>
    <x v="3"/>
    <x v="1"/>
    <x v="82"/>
  </r>
  <r>
    <x v="416"/>
    <x v="214"/>
    <x v="366"/>
    <x v="1"/>
    <x v="0"/>
    <x v="0"/>
    <x v="4"/>
    <x v="293"/>
    <x v="366"/>
    <x v="373"/>
    <x v="350"/>
    <x v="0"/>
    <x v="0"/>
    <x v="60"/>
  </r>
  <r>
    <x v="417"/>
    <x v="54"/>
    <x v="367"/>
    <x v="0"/>
    <x v="1"/>
    <x v="6"/>
    <x v="0"/>
    <x v="294"/>
    <x v="367"/>
    <x v="374"/>
    <x v="122"/>
    <x v="3"/>
    <x v="0"/>
    <x v="9"/>
  </r>
  <r>
    <x v="418"/>
    <x v="143"/>
    <x v="368"/>
    <x v="4"/>
    <x v="2"/>
    <x v="4"/>
    <x v="2"/>
    <x v="109"/>
    <x v="119"/>
    <x v="112"/>
    <x v="55"/>
    <x v="0"/>
    <x v="0"/>
    <x v="31"/>
  </r>
  <r>
    <x v="419"/>
    <x v="153"/>
    <x v="369"/>
    <x v="4"/>
    <x v="0"/>
    <x v="13"/>
    <x v="2"/>
    <x v="295"/>
    <x v="368"/>
    <x v="375"/>
    <x v="351"/>
    <x v="3"/>
    <x v="1"/>
    <x v="21"/>
  </r>
  <r>
    <x v="420"/>
    <x v="154"/>
    <x v="370"/>
    <x v="0"/>
    <x v="1"/>
    <x v="6"/>
    <x v="3"/>
    <x v="296"/>
    <x v="369"/>
    <x v="376"/>
    <x v="66"/>
    <x v="1"/>
    <x v="1"/>
    <x v="96"/>
  </r>
  <r>
    <x v="421"/>
    <x v="88"/>
    <x v="371"/>
    <x v="0"/>
    <x v="3"/>
    <x v="8"/>
    <x v="4"/>
    <x v="5"/>
    <x v="370"/>
    <x v="118"/>
    <x v="14"/>
    <x v="3"/>
    <x v="2"/>
    <x v="23"/>
  </r>
  <r>
    <x v="422"/>
    <x v="8"/>
    <x v="372"/>
    <x v="1"/>
    <x v="3"/>
    <x v="9"/>
    <x v="1"/>
    <x v="297"/>
    <x v="371"/>
    <x v="377"/>
    <x v="352"/>
    <x v="0"/>
    <x v="1"/>
    <x v="62"/>
  </r>
  <r>
    <x v="423"/>
    <x v="248"/>
    <x v="360"/>
    <x v="3"/>
    <x v="1"/>
    <x v="6"/>
    <x v="4"/>
    <x v="251"/>
    <x v="372"/>
    <x v="378"/>
    <x v="353"/>
    <x v="2"/>
    <x v="2"/>
    <x v="9"/>
  </r>
  <r>
    <x v="424"/>
    <x v="121"/>
    <x v="373"/>
    <x v="2"/>
    <x v="2"/>
    <x v="11"/>
    <x v="0"/>
    <x v="298"/>
    <x v="373"/>
    <x v="379"/>
    <x v="354"/>
    <x v="0"/>
    <x v="1"/>
    <x v="39"/>
  </r>
  <r>
    <x v="425"/>
    <x v="249"/>
    <x v="281"/>
    <x v="2"/>
    <x v="1"/>
    <x v="1"/>
    <x v="2"/>
    <x v="299"/>
    <x v="374"/>
    <x v="380"/>
    <x v="79"/>
    <x v="0"/>
    <x v="2"/>
    <x v="95"/>
  </r>
  <r>
    <x v="426"/>
    <x v="250"/>
    <x v="374"/>
    <x v="3"/>
    <x v="1"/>
    <x v="10"/>
    <x v="4"/>
    <x v="58"/>
    <x v="375"/>
    <x v="74"/>
    <x v="311"/>
    <x v="1"/>
    <x v="1"/>
    <x v="25"/>
  </r>
  <r>
    <x v="427"/>
    <x v="122"/>
    <x v="375"/>
    <x v="1"/>
    <x v="1"/>
    <x v="1"/>
    <x v="3"/>
    <x v="300"/>
    <x v="376"/>
    <x v="381"/>
    <x v="322"/>
    <x v="1"/>
    <x v="1"/>
    <x v="79"/>
  </r>
  <r>
    <x v="428"/>
    <x v="82"/>
    <x v="376"/>
    <x v="2"/>
    <x v="2"/>
    <x v="11"/>
    <x v="2"/>
    <x v="301"/>
    <x v="377"/>
    <x v="382"/>
    <x v="43"/>
    <x v="0"/>
    <x v="0"/>
    <x v="37"/>
  </r>
  <r>
    <x v="429"/>
    <x v="131"/>
    <x v="377"/>
    <x v="2"/>
    <x v="3"/>
    <x v="9"/>
    <x v="2"/>
    <x v="34"/>
    <x v="378"/>
    <x v="383"/>
    <x v="43"/>
    <x v="3"/>
    <x v="2"/>
    <x v="8"/>
  </r>
  <r>
    <x v="430"/>
    <x v="86"/>
    <x v="378"/>
    <x v="2"/>
    <x v="0"/>
    <x v="3"/>
    <x v="3"/>
    <x v="302"/>
    <x v="379"/>
    <x v="184"/>
    <x v="355"/>
    <x v="3"/>
    <x v="1"/>
    <x v="34"/>
  </r>
  <r>
    <x v="431"/>
    <x v="185"/>
    <x v="218"/>
    <x v="0"/>
    <x v="1"/>
    <x v="1"/>
    <x v="3"/>
    <x v="257"/>
    <x v="380"/>
    <x v="384"/>
    <x v="356"/>
    <x v="0"/>
    <x v="0"/>
    <x v="30"/>
  </r>
  <r>
    <x v="432"/>
    <x v="28"/>
    <x v="55"/>
    <x v="4"/>
    <x v="3"/>
    <x v="9"/>
    <x v="2"/>
    <x v="303"/>
    <x v="381"/>
    <x v="385"/>
    <x v="181"/>
    <x v="3"/>
    <x v="0"/>
    <x v="97"/>
  </r>
  <r>
    <x v="433"/>
    <x v="17"/>
    <x v="242"/>
    <x v="2"/>
    <x v="0"/>
    <x v="3"/>
    <x v="2"/>
    <x v="304"/>
    <x v="382"/>
    <x v="386"/>
    <x v="357"/>
    <x v="2"/>
    <x v="0"/>
    <x v="29"/>
  </r>
  <r>
    <x v="434"/>
    <x v="251"/>
    <x v="379"/>
    <x v="0"/>
    <x v="2"/>
    <x v="11"/>
    <x v="1"/>
    <x v="213"/>
    <x v="383"/>
    <x v="387"/>
    <x v="60"/>
    <x v="0"/>
    <x v="1"/>
    <x v="44"/>
  </r>
  <r>
    <x v="435"/>
    <x v="37"/>
    <x v="232"/>
    <x v="4"/>
    <x v="2"/>
    <x v="4"/>
    <x v="2"/>
    <x v="305"/>
    <x v="384"/>
    <x v="388"/>
    <x v="358"/>
    <x v="1"/>
    <x v="2"/>
    <x v="4"/>
  </r>
  <r>
    <x v="436"/>
    <x v="252"/>
    <x v="380"/>
    <x v="3"/>
    <x v="1"/>
    <x v="1"/>
    <x v="4"/>
    <x v="306"/>
    <x v="385"/>
    <x v="389"/>
    <x v="359"/>
    <x v="2"/>
    <x v="2"/>
    <x v="83"/>
  </r>
  <r>
    <x v="437"/>
    <x v="253"/>
    <x v="381"/>
    <x v="1"/>
    <x v="2"/>
    <x v="4"/>
    <x v="0"/>
    <x v="307"/>
    <x v="386"/>
    <x v="390"/>
    <x v="360"/>
    <x v="3"/>
    <x v="1"/>
    <x v="50"/>
  </r>
  <r>
    <x v="438"/>
    <x v="146"/>
    <x v="382"/>
    <x v="4"/>
    <x v="0"/>
    <x v="3"/>
    <x v="0"/>
    <x v="76"/>
    <x v="387"/>
    <x v="391"/>
    <x v="18"/>
    <x v="2"/>
    <x v="0"/>
    <x v="85"/>
  </r>
  <r>
    <x v="439"/>
    <x v="21"/>
    <x v="383"/>
    <x v="0"/>
    <x v="2"/>
    <x v="2"/>
    <x v="4"/>
    <x v="191"/>
    <x v="227"/>
    <x v="392"/>
    <x v="361"/>
    <x v="2"/>
    <x v="0"/>
    <x v="93"/>
  </r>
  <r>
    <x v="440"/>
    <x v="223"/>
    <x v="384"/>
    <x v="4"/>
    <x v="0"/>
    <x v="0"/>
    <x v="4"/>
    <x v="256"/>
    <x v="308"/>
    <x v="279"/>
    <x v="201"/>
    <x v="2"/>
    <x v="0"/>
    <x v="6"/>
  </r>
  <r>
    <x v="441"/>
    <x v="229"/>
    <x v="385"/>
    <x v="2"/>
    <x v="2"/>
    <x v="2"/>
    <x v="2"/>
    <x v="308"/>
    <x v="388"/>
    <x v="172"/>
    <x v="362"/>
    <x v="2"/>
    <x v="0"/>
    <x v="87"/>
  </r>
  <r>
    <x v="442"/>
    <x v="192"/>
    <x v="147"/>
    <x v="1"/>
    <x v="2"/>
    <x v="12"/>
    <x v="3"/>
    <x v="309"/>
    <x v="389"/>
    <x v="393"/>
    <x v="184"/>
    <x v="1"/>
    <x v="1"/>
    <x v="55"/>
  </r>
  <r>
    <x v="443"/>
    <x v="254"/>
    <x v="80"/>
    <x v="0"/>
    <x v="3"/>
    <x v="9"/>
    <x v="4"/>
    <x v="278"/>
    <x v="341"/>
    <x v="394"/>
    <x v="363"/>
    <x v="2"/>
    <x v="0"/>
    <x v="35"/>
  </r>
  <r>
    <x v="444"/>
    <x v="158"/>
    <x v="333"/>
    <x v="1"/>
    <x v="3"/>
    <x v="7"/>
    <x v="1"/>
    <x v="143"/>
    <x v="390"/>
    <x v="395"/>
    <x v="364"/>
    <x v="3"/>
    <x v="1"/>
    <x v="63"/>
  </r>
  <r>
    <x v="445"/>
    <x v="217"/>
    <x v="177"/>
    <x v="3"/>
    <x v="2"/>
    <x v="2"/>
    <x v="3"/>
    <x v="170"/>
    <x v="391"/>
    <x v="396"/>
    <x v="365"/>
    <x v="2"/>
    <x v="0"/>
    <x v="81"/>
  </r>
  <r>
    <x v="446"/>
    <x v="255"/>
    <x v="386"/>
    <x v="4"/>
    <x v="0"/>
    <x v="13"/>
    <x v="4"/>
    <x v="180"/>
    <x v="392"/>
    <x v="397"/>
    <x v="366"/>
    <x v="3"/>
    <x v="2"/>
    <x v="8"/>
  </r>
  <r>
    <x v="447"/>
    <x v="225"/>
    <x v="387"/>
    <x v="0"/>
    <x v="3"/>
    <x v="9"/>
    <x v="2"/>
    <x v="310"/>
    <x v="393"/>
    <x v="251"/>
    <x v="367"/>
    <x v="3"/>
    <x v="1"/>
    <x v="10"/>
  </r>
  <r>
    <x v="448"/>
    <x v="202"/>
    <x v="388"/>
    <x v="2"/>
    <x v="1"/>
    <x v="1"/>
    <x v="0"/>
    <x v="6"/>
    <x v="394"/>
    <x v="310"/>
    <x v="368"/>
    <x v="2"/>
    <x v="2"/>
    <x v="19"/>
  </r>
  <r>
    <x v="449"/>
    <x v="12"/>
    <x v="389"/>
    <x v="0"/>
    <x v="1"/>
    <x v="1"/>
    <x v="1"/>
    <x v="311"/>
    <x v="395"/>
    <x v="307"/>
    <x v="301"/>
    <x v="3"/>
    <x v="2"/>
    <x v="36"/>
  </r>
  <r>
    <x v="450"/>
    <x v="243"/>
    <x v="390"/>
    <x v="4"/>
    <x v="3"/>
    <x v="9"/>
    <x v="2"/>
    <x v="312"/>
    <x v="396"/>
    <x v="398"/>
    <x v="144"/>
    <x v="0"/>
    <x v="2"/>
    <x v="70"/>
  </r>
  <r>
    <x v="451"/>
    <x v="113"/>
    <x v="322"/>
    <x v="4"/>
    <x v="2"/>
    <x v="5"/>
    <x v="2"/>
    <x v="97"/>
    <x v="397"/>
    <x v="399"/>
    <x v="369"/>
    <x v="0"/>
    <x v="2"/>
    <x v="5"/>
  </r>
  <r>
    <x v="452"/>
    <x v="256"/>
    <x v="391"/>
    <x v="2"/>
    <x v="3"/>
    <x v="7"/>
    <x v="0"/>
    <x v="1"/>
    <x v="398"/>
    <x v="400"/>
    <x v="370"/>
    <x v="2"/>
    <x v="2"/>
    <x v="54"/>
  </r>
  <r>
    <x v="453"/>
    <x v="192"/>
    <x v="151"/>
    <x v="3"/>
    <x v="2"/>
    <x v="5"/>
    <x v="3"/>
    <x v="313"/>
    <x v="399"/>
    <x v="401"/>
    <x v="371"/>
    <x v="1"/>
    <x v="0"/>
    <x v="15"/>
  </r>
  <r>
    <x v="454"/>
    <x v="257"/>
    <x v="392"/>
    <x v="0"/>
    <x v="3"/>
    <x v="9"/>
    <x v="0"/>
    <x v="314"/>
    <x v="400"/>
    <x v="402"/>
    <x v="372"/>
    <x v="2"/>
    <x v="2"/>
    <x v="96"/>
  </r>
  <r>
    <x v="455"/>
    <x v="220"/>
    <x v="393"/>
    <x v="3"/>
    <x v="2"/>
    <x v="5"/>
    <x v="2"/>
    <x v="315"/>
    <x v="401"/>
    <x v="12"/>
    <x v="373"/>
    <x v="3"/>
    <x v="1"/>
    <x v="11"/>
  </r>
  <r>
    <x v="456"/>
    <x v="59"/>
    <x v="394"/>
    <x v="1"/>
    <x v="0"/>
    <x v="13"/>
    <x v="0"/>
    <x v="316"/>
    <x v="402"/>
    <x v="403"/>
    <x v="3"/>
    <x v="3"/>
    <x v="2"/>
    <x v="91"/>
  </r>
  <r>
    <x v="457"/>
    <x v="55"/>
    <x v="313"/>
    <x v="0"/>
    <x v="3"/>
    <x v="9"/>
    <x v="4"/>
    <x v="317"/>
    <x v="403"/>
    <x v="404"/>
    <x v="374"/>
    <x v="0"/>
    <x v="2"/>
    <x v="80"/>
  </r>
  <r>
    <x v="458"/>
    <x v="237"/>
    <x v="179"/>
    <x v="3"/>
    <x v="0"/>
    <x v="3"/>
    <x v="3"/>
    <x v="286"/>
    <x v="250"/>
    <x v="405"/>
    <x v="375"/>
    <x v="2"/>
    <x v="0"/>
    <x v="84"/>
  </r>
  <r>
    <x v="459"/>
    <x v="157"/>
    <x v="395"/>
    <x v="1"/>
    <x v="3"/>
    <x v="7"/>
    <x v="2"/>
    <x v="318"/>
    <x v="404"/>
    <x v="142"/>
    <x v="376"/>
    <x v="0"/>
    <x v="0"/>
    <x v="58"/>
  </r>
  <r>
    <x v="460"/>
    <x v="112"/>
    <x v="396"/>
    <x v="0"/>
    <x v="2"/>
    <x v="12"/>
    <x v="3"/>
    <x v="319"/>
    <x v="388"/>
    <x v="406"/>
    <x v="377"/>
    <x v="0"/>
    <x v="0"/>
    <x v="60"/>
  </r>
  <r>
    <x v="461"/>
    <x v="155"/>
    <x v="133"/>
    <x v="4"/>
    <x v="1"/>
    <x v="6"/>
    <x v="0"/>
    <x v="320"/>
    <x v="405"/>
    <x v="407"/>
    <x v="378"/>
    <x v="1"/>
    <x v="2"/>
    <x v="65"/>
  </r>
  <r>
    <x v="462"/>
    <x v="258"/>
    <x v="221"/>
    <x v="0"/>
    <x v="3"/>
    <x v="8"/>
    <x v="0"/>
    <x v="321"/>
    <x v="406"/>
    <x v="408"/>
    <x v="213"/>
    <x v="3"/>
    <x v="0"/>
    <x v="91"/>
  </r>
  <r>
    <x v="463"/>
    <x v="190"/>
    <x v="397"/>
    <x v="1"/>
    <x v="0"/>
    <x v="0"/>
    <x v="0"/>
    <x v="231"/>
    <x v="407"/>
    <x v="409"/>
    <x v="35"/>
    <x v="3"/>
    <x v="1"/>
    <x v="84"/>
  </r>
  <r>
    <x v="464"/>
    <x v="259"/>
    <x v="398"/>
    <x v="2"/>
    <x v="3"/>
    <x v="8"/>
    <x v="1"/>
    <x v="32"/>
    <x v="408"/>
    <x v="410"/>
    <x v="379"/>
    <x v="3"/>
    <x v="2"/>
    <x v="45"/>
  </r>
  <r>
    <x v="465"/>
    <x v="21"/>
    <x v="399"/>
    <x v="2"/>
    <x v="0"/>
    <x v="13"/>
    <x v="0"/>
    <x v="322"/>
    <x v="395"/>
    <x v="411"/>
    <x v="380"/>
    <x v="1"/>
    <x v="1"/>
    <x v="65"/>
  </r>
  <r>
    <x v="466"/>
    <x v="18"/>
    <x v="274"/>
    <x v="2"/>
    <x v="3"/>
    <x v="9"/>
    <x v="4"/>
    <x v="243"/>
    <x v="291"/>
    <x v="412"/>
    <x v="381"/>
    <x v="0"/>
    <x v="1"/>
    <x v="42"/>
  </r>
  <r>
    <x v="467"/>
    <x v="58"/>
    <x v="400"/>
    <x v="4"/>
    <x v="3"/>
    <x v="7"/>
    <x v="1"/>
    <x v="266"/>
    <x v="409"/>
    <x v="355"/>
    <x v="382"/>
    <x v="2"/>
    <x v="2"/>
    <x v="66"/>
  </r>
  <r>
    <x v="468"/>
    <x v="64"/>
    <x v="401"/>
    <x v="4"/>
    <x v="0"/>
    <x v="13"/>
    <x v="3"/>
    <x v="323"/>
    <x v="410"/>
    <x v="354"/>
    <x v="242"/>
    <x v="1"/>
    <x v="1"/>
    <x v="28"/>
  </r>
  <r>
    <x v="469"/>
    <x v="260"/>
    <x v="389"/>
    <x v="2"/>
    <x v="2"/>
    <x v="12"/>
    <x v="1"/>
    <x v="324"/>
    <x v="411"/>
    <x v="413"/>
    <x v="383"/>
    <x v="1"/>
    <x v="2"/>
    <x v="80"/>
  </r>
  <r>
    <x v="470"/>
    <x v="48"/>
    <x v="402"/>
    <x v="0"/>
    <x v="2"/>
    <x v="11"/>
    <x v="3"/>
    <x v="86"/>
    <x v="412"/>
    <x v="414"/>
    <x v="384"/>
    <x v="3"/>
    <x v="1"/>
    <x v="81"/>
  </r>
  <r>
    <x v="471"/>
    <x v="261"/>
    <x v="403"/>
    <x v="0"/>
    <x v="2"/>
    <x v="11"/>
    <x v="0"/>
    <x v="325"/>
    <x v="413"/>
    <x v="415"/>
    <x v="385"/>
    <x v="0"/>
    <x v="2"/>
    <x v="76"/>
  </r>
  <r>
    <x v="472"/>
    <x v="168"/>
    <x v="6"/>
    <x v="3"/>
    <x v="2"/>
    <x v="2"/>
    <x v="0"/>
    <x v="326"/>
    <x v="414"/>
    <x v="416"/>
    <x v="386"/>
    <x v="2"/>
    <x v="2"/>
    <x v="59"/>
  </r>
  <r>
    <x v="473"/>
    <x v="117"/>
    <x v="404"/>
    <x v="1"/>
    <x v="2"/>
    <x v="4"/>
    <x v="1"/>
    <x v="327"/>
    <x v="415"/>
    <x v="417"/>
    <x v="14"/>
    <x v="1"/>
    <x v="0"/>
    <x v="81"/>
  </r>
  <r>
    <x v="474"/>
    <x v="130"/>
    <x v="405"/>
    <x v="2"/>
    <x v="3"/>
    <x v="7"/>
    <x v="1"/>
    <x v="328"/>
    <x v="416"/>
    <x v="418"/>
    <x v="371"/>
    <x v="2"/>
    <x v="2"/>
    <x v="60"/>
  </r>
  <r>
    <x v="475"/>
    <x v="258"/>
    <x v="239"/>
    <x v="2"/>
    <x v="0"/>
    <x v="3"/>
    <x v="0"/>
    <x v="187"/>
    <x v="417"/>
    <x v="419"/>
    <x v="387"/>
    <x v="2"/>
    <x v="2"/>
    <x v="30"/>
  </r>
  <r>
    <x v="476"/>
    <x v="262"/>
    <x v="406"/>
    <x v="2"/>
    <x v="2"/>
    <x v="11"/>
    <x v="3"/>
    <x v="329"/>
    <x v="418"/>
    <x v="371"/>
    <x v="388"/>
    <x v="1"/>
    <x v="1"/>
    <x v="86"/>
  </r>
  <r>
    <x v="477"/>
    <x v="263"/>
    <x v="407"/>
    <x v="3"/>
    <x v="3"/>
    <x v="7"/>
    <x v="3"/>
    <x v="330"/>
    <x v="419"/>
    <x v="420"/>
    <x v="389"/>
    <x v="1"/>
    <x v="1"/>
    <x v="47"/>
  </r>
  <r>
    <x v="478"/>
    <x v="99"/>
    <x v="408"/>
    <x v="3"/>
    <x v="0"/>
    <x v="13"/>
    <x v="1"/>
    <x v="55"/>
    <x v="420"/>
    <x v="421"/>
    <x v="223"/>
    <x v="1"/>
    <x v="1"/>
    <x v="10"/>
  </r>
  <r>
    <x v="479"/>
    <x v="57"/>
    <x v="409"/>
    <x v="0"/>
    <x v="2"/>
    <x v="4"/>
    <x v="2"/>
    <x v="246"/>
    <x v="421"/>
    <x v="280"/>
    <x v="390"/>
    <x v="3"/>
    <x v="0"/>
    <x v="61"/>
  </r>
  <r>
    <x v="480"/>
    <x v="2"/>
    <x v="349"/>
    <x v="3"/>
    <x v="0"/>
    <x v="0"/>
    <x v="4"/>
    <x v="43"/>
    <x v="422"/>
    <x v="422"/>
    <x v="391"/>
    <x v="0"/>
    <x v="0"/>
    <x v="1"/>
  </r>
  <r>
    <x v="481"/>
    <x v="50"/>
    <x v="233"/>
    <x v="3"/>
    <x v="0"/>
    <x v="13"/>
    <x v="4"/>
    <x v="331"/>
    <x v="423"/>
    <x v="423"/>
    <x v="392"/>
    <x v="0"/>
    <x v="2"/>
    <x v="4"/>
  </r>
  <r>
    <x v="482"/>
    <x v="264"/>
    <x v="410"/>
    <x v="0"/>
    <x v="0"/>
    <x v="0"/>
    <x v="3"/>
    <x v="14"/>
    <x v="424"/>
    <x v="23"/>
    <x v="322"/>
    <x v="3"/>
    <x v="0"/>
    <x v="57"/>
  </r>
  <r>
    <x v="483"/>
    <x v="265"/>
    <x v="411"/>
    <x v="1"/>
    <x v="0"/>
    <x v="13"/>
    <x v="1"/>
    <x v="68"/>
    <x v="425"/>
    <x v="424"/>
    <x v="393"/>
    <x v="3"/>
    <x v="1"/>
    <x v="38"/>
  </r>
  <r>
    <x v="484"/>
    <x v="191"/>
    <x v="393"/>
    <x v="4"/>
    <x v="0"/>
    <x v="3"/>
    <x v="1"/>
    <x v="158"/>
    <x v="426"/>
    <x v="425"/>
    <x v="394"/>
    <x v="0"/>
    <x v="0"/>
    <x v="67"/>
  </r>
  <r>
    <x v="485"/>
    <x v="119"/>
    <x v="412"/>
    <x v="3"/>
    <x v="2"/>
    <x v="11"/>
    <x v="2"/>
    <x v="73"/>
    <x v="427"/>
    <x v="255"/>
    <x v="219"/>
    <x v="1"/>
    <x v="1"/>
    <x v="60"/>
  </r>
  <r>
    <x v="486"/>
    <x v="96"/>
    <x v="63"/>
    <x v="4"/>
    <x v="0"/>
    <x v="0"/>
    <x v="1"/>
    <x v="292"/>
    <x v="218"/>
    <x v="426"/>
    <x v="388"/>
    <x v="3"/>
    <x v="2"/>
    <x v="25"/>
  </r>
  <r>
    <x v="487"/>
    <x v="74"/>
    <x v="413"/>
    <x v="3"/>
    <x v="1"/>
    <x v="1"/>
    <x v="1"/>
    <x v="332"/>
    <x v="428"/>
    <x v="427"/>
    <x v="395"/>
    <x v="3"/>
    <x v="0"/>
    <x v="94"/>
  </r>
  <r>
    <x v="488"/>
    <x v="164"/>
    <x v="414"/>
    <x v="1"/>
    <x v="2"/>
    <x v="2"/>
    <x v="2"/>
    <x v="333"/>
    <x v="429"/>
    <x v="428"/>
    <x v="396"/>
    <x v="0"/>
    <x v="1"/>
    <x v="96"/>
  </r>
  <r>
    <x v="489"/>
    <x v="89"/>
    <x v="45"/>
    <x v="4"/>
    <x v="3"/>
    <x v="7"/>
    <x v="1"/>
    <x v="334"/>
    <x v="430"/>
    <x v="429"/>
    <x v="60"/>
    <x v="1"/>
    <x v="0"/>
    <x v="72"/>
  </r>
  <r>
    <x v="490"/>
    <x v="266"/>
    <x v="202"/>
    <x v="1"/>
    <x v="3"/>
    <x v="8"/>
    <x v="0"/>
    <x v="289"/>
    <x v="360"/>
    <x v="430"/>
    <x v="397"/>
    <x v="0"/>
    <x v="1"/>
    <x v="16"/>
  </r>
  <r>
    <x v="491"/>
    <x v="250"/>
    <x v="415"/>
    <x v="3"/>
    <x v="3"/>
    <x v="9"/>
    <x v="0"/>
    <x v="335"/>
    <x v="431"/>
    <x v="431"/>
    <x v="398"/>
    <x v="2"/>
    <x v="2"/>
    <x v="37"/>
  </r>
  <r>
    <x v="492"/>
    <x v="267"/>
    <x v="416"/>
    <x v="3"/>
    <x v="3"/>
    <x v="9"/>
    <x v="1"/>
    <x v="286"/>
    <x v="432"/>
    <x v="432"/>
    <x v="110"/>
    <x v="3"/>
    <x v="1"/>
    <x v="52"/>
  </r>
  <r>
    <x v="493"/>
    <x v="250"/>
    <x v="417"/>
    <x v="2"/>
    <x v="0"/>
    <x v="0"/>
    <x v="4"/>
    <x v="5"/>
    <x v="370"/>
    <x v="433"/>
    <x v="399"/>
    <x v="2"/>
    <x v="0"/>
    <x v="0"/>
  </r>
  <r>
    <x v="494"/>
    <x v="268"/>
    <x v="418"/>
    <x v="3"/>
    <x v="2"/>
    <x v="5"/>
    <x v="1"/>
    <x v="336"/>
    <x v="364"/>
    <x v="434"/>
    <x v="400"/>
    <x v="3"/>
    <x v="1"/>
    <x v="50"/>
  </r>
  <r>
    <x v="495"/>
    <x v="55"/>
    <x v="176"/>
    <x v="4"/>
    <x v="3"/>
    <x v="7"/>
    <x v="3"/>
    <x v="175"/>
    <x v="433"/>
    <x v="435"/>
    <x v="401"/>
    <x v="0"/>
    <x v="2"/>
    <x v="25"/>
  </r>
  <r>
    <x v="496"/>
    <x v="241"/>
    <x v="419"/>
    <x v="4"/>
    <x v="3"/>
    <x v="7"/>
    <x v="1"/>
    <x v="337"/>
    <x v="434"/>
    <x v="436"/>
    <x v="402"/>
    <x v="1"/>
    <x v="0"/>
    <x v="71"/>
  </r>
  <r>
    <x v="497"/>
    <x v="95"/>
    <x v="19"/>
    <x v="1"/>
    <x v="2"/>
    <x v="5"/>
    <x v="0"/>
    <x v="312"/>
    <x v="435"/>
    <x v="437"/>
    <x v="403"/>
    <x v="3"/>
    <x v="0"/>
    <x v="41"/>
  </r>
  <r>
    <x v="498"/>
    <x v="47"/>
    <x v="420"/>
    <x v="3"/>
    <x v="2"/>
    <x v="2"/>
    <x v="0"/>
    <x v="229"/>
    <x v="274"/>
    <x v="438"/>
    <x v="404"/>
    <x v="0"/>
    <x v="1"/>
    <x v="83"/>
  </r>
  <r>
    <x v="499"/>
    <x v="118"/>
    <x v="421"/>
    <x v="0"/>
    <x v="2"/>
    <x v="2"/>
    <x v="1"/>
    <x v="162"/>
    <x v="179"/>
    <x v="439"/>
    <x v="164"/>
    <x v="3"/>
    <x v="1"/>
    <x v="41"/>
  </r>
  <r>
    <x v="500"/>
    <x v="119"/>
    <x v="422"/>
    <x v="3"/>
    <x v="3"/>
    <x v="7"/>
    <x v="4"/>
    <x v="209"/>
    <x v="418"/>
    <x v="440"/>
    <x v="405"/>
    <x v="1"/>
    <x v="1"/>
    <x v="88"/>
  </r>
  <r>
    <x v="501"/>
    <x v="73"/>
    <x v="423"/>
    <x v="1"/>
    <x v="0"/>
    <x v="3"/>
    <x v="0"/>
    <x v="338"/>
    <x v="436"/>
    <x v="441"/>
    <x v="406"/>
    <x v="1"/>
    <x v="2"/>
    <x v="42"/>
  </r>
  <r>
    <x v="502"/>
    <x v="75"/>
    <x v="424"/>
    <x v="2"/>
    <x v="1"/>
    <x v="1"/>
    <x v="3"/>
    <x v="52"/>
    <x v="437"/>
    <x v="442"/>
    <x v="200"/>
    <x v="2"/>
    <x v="0"/>
    <x v="47"/>
  </r>
  <r>
    <x v="503"/>
    <x v="152"/>
    <x v="425"/>
    <x v="1"/>
    <x v="2"/>
    <x v="12"/>
    <x v="1"/>
    <x v="136"/>
    <x v="150"/>
    <x v="417"/>
    <x v="407"/>
    <x v="3"/>
    <x v="1"/>
    <x v="56"/>
  </r>
  <r>
    <x v="504"/>
    <x v="61"/>
    <x v="426"/>
    <x v="4"/>
    <x v="1"/>
    <x v="6"/>
    <x v="3"/>
    <x v="306"/>
    <x v="97"/>
    <x v="95"/>
    <x v="408"/>
    <x v="1"/>
    <x v="1"/>
    <x v="23"/>
  </r>
  <r>
    <x v="505"/>
    <x v="140"/>
    <x v="427"/>
    <x v="2"/>
    <x v="0"/>
    <x v="13"/>
    <x v="4"/>
    <x v="339"/>
    <x v="438"/>
    <x v="70"/>
    <x v="409"/>
    <x v="2"/>
    <x v="1"/>
    <x v="86"/>
  </r>
  <r>
    <x v="506"/>
    <x v="173"/>
    <x v="112"/>
    <x v="1"/>
    <x v="2"/>
    <x v="12"/>
    <x v="4"/>
    <x v="78"/>
    <x v="439"/>
    <x v="137"/>
    <x v="410"/>
    <x v="2"/>
    <x v="2"/>
    <x v="33"/>
  </r>
  <r>
    <x v="507"/>
    <x v="219"/>
    <x v="428"/>
    <x v="4"/>
    <x v="0"/>
    <x v="13"/>
    <x v="3"/>
    <x v="35"/>
    <x v="293"/>
    <x v="443"/>
    <x v="411"/>
    <x v="2"/>
    <x v="0"/>
    <x v="1"/>
  </r>
  <r>
    <x v="508"/>
    <x v="206"/>
    <x v="429"/>
    <x v="2"/>
    <x v="3"/>
    <x v="8"/>
    <x v="0"/>
    <x v="340"/>
    <x v="440"/>
    <x v="444"/>
    <x v="412"/>
    <x v="0"/>
    <x v="0"/>
    <x v="98"/>
  </r>
  <r>
    <x v="509"/>
    <x v="252"/>
    <x v="430"/>
    <x v="3"/>
    <x v="1"/>
    <x v="14"/>
    <x v="1"/>
    <x v="314"/>
    <x v="441"/>
    <x v="445"/>
    <x v="413"/>
    <x v="3"/>
    <x v="1"/>
    <x v="41"/>
  </r>
  <r>
    <x v="510"/>
    <x v="166"/>
    <x v="40"/>
    <x v="2"/>
    <x v="3"/>
    <x v="9"/>
    <x v="0"/>
    <x v="60"/>
    <x v="442"/>
    <x v="446"/>
    <x v="414"/>
    <x v="0"/>
    <x v="2"/>
    <x v="79"/>
  </r>
  <r>
    <x v="511"/>
    <x v="180"/>
    <x v="431"/>
    <x v="2"/>
    <x v="1"/>
    <x v="1"/>
    <x v="3"/>
    <x v="329"/>
    <x v="418"/>
    <x v="447"/>
    <x v="415"/>
    <x v="1"/>
    <x v="1"/>
    <x v="90"/>
  </r>
  <r>
    <x v="512"/>
    <x v="269"/>
    <x v="432"/>
    <x v="3"/>
    <x v="0"/>
    <x v="13"/>
    <x v="1"/>
    <x v="341"/>
    <x v="443"/>
    <x v="448"/>
    <x v="416"/>
    <x v="3"/>
    <x v="2"/>
    <x v="20"/>
  </r>
  <r>
    <x v="513"/>
    <x v="72"/>
    <x v="433"/>
    <x v="1"/>
    <x v="3"/>
    <x v="7"/>
    <x v="1"/>
    <x v="342"/>
    <x v="444"/>
    <x v="449"/>
    <x v="64"/>
    <x v="0"/>
    <x v="2"/>
    <x v="99"/>
  </r>
  <r>
    <x v="514"/>
    <x v="137"/>
    <x v="44"/>
    <x v="0"/>
    <x v="2"/>
    <x v="11"/>
    <x v="2"/>
    <x v="343"/>
    <x v="445"/>
    <x v="428"/>
    <x v="235"/>
    <x v="2"/>
    <x v="0"/>
    <x v="96"/>
  </r>
  <r>
    <x v="515"/>
    <x v="164"/>
    <x v="434"/>
    <x v="3"/>
    <x v="2"/>
    <x v="5"/>
    <x v="4"/>
    <x v="344"/>
    <x v="446"/>
    <x v="450"/>
    <x v="417"/>
    <x v="1"/>
    <x v="1"/>
    <x v="21"/>
  </r>
  <r>
    <x v="516"/>
    <x v="182"/>
    <x v="435"/>
    <x v="4"/>
    <x v="2"/>
    <x v="2"/>
    <x v="4"/>
    <x v="160"/>
    <x v="177"/>
    <x v="33"/>
    <x v="418"/>
    <x v="3"/>
    <x v="1"/>
    <x v="59"/>
  </r>
  <r>
    <x v="517"/>
    <x v="209"/>
    <x v="436"/>
    <x v="2"/>
    <x v="2"/>
    <x v="4"/>
    <x v="1"/>
    <x v="55"/>
    <x v="420"/>
    <x v="451"/>
    <x v="419"/>
    <x v="0"/>
    <x v="0"/>
    <x v="3"/>
  </r>
  <r>
    <x v="518"/>
    <x v="194"/>
    <x v="437"/>
    <x v="1"/>
    <x v="1"/>
    <x v="1"/>
    <x v="3"/>
    <x v="64"/>
    <x v="447"/>
    <x v="452"/>
    <x v="420"/>
    <x v="1"/>
    <x v="0"/>
    <x v="9"/>
  </r>
  <r>
    <x v="519"/>
    <x v="270"/>
    <x v="438"/>
    <x v="2"/>
    <x v="1"/>
    <x v="10"/>
    <x v="4"/>
    <x v="345"/>
    <x v="448"/>
    <x v="453"/>
    <x v="421"/>
    <x v="2"/>
    <x v="2"/>
    <x v="76"/>
  </r>
  <r>
    <x v="520"/>
    <x v="240"/>
    <x v="439"/>
    <x v="3"/>
    <x v="0"/>
    <x v="13"/>
    <x v="4"/>
    <x v="346"/>
    <x v="449"/>
    <x v="454"/>
    <x v="422"/>
    <x v="1"/>
    <x v="2"/>
    <x v="38"/>
  </r>
  <r>
    <x v="521"/>
    <x v="206"/>
    <x v="440"/>
    <x v="3"/>
    <x v="2"/>
    <x v="4"/>
    <x v="1"/>
    <x v="182"/>
    <x v="450"/>
    <x v="455"/>
    <x v="423"/>
    <x v="2"/>
    <x v="2"/>
    <x v="6"/>
  </r>
  <r>
    <x v="522"/>
    <x v="127"/>
    <x v="221"/>
    <x v="1"/>
    <x v="0"/>
    <x v="3"/>
    <x v="1"/>
    <x v="199"/>
    <x v="451"/>
    <x v="456"/>
    <x v="424"/>
    <x v="2"/>
    <x v="2"/>
    <x v="55"/>
  </r>
  <r>
    <x v="523"/>
    <x v="84"/>
    <x v="233"/>
    <x v="2"/>
    <x v="3"/>
    <x v="8"/>
    <x v="0"/>
    <x v="124"/>
    <x v="452"/>
    <x v="457"/>
    <x v="425"/>
    <x v="1"/>
    <x v="2"/>
    <x v="75"/>
  </r>
  <r>
    <x v="524"/>
    <x v="135"/>
    <x v="441"/>
    <x v="4"/>
    <x v="0"/>
    <x v="13"/>
    <x v="3"/>
    <x v="181"/>
    <x v="453"/>
    <x v="458"/>
    <x v="426"/>
    <x v="3"/>
    <x v="2"/>
    <x v="87"/>
  </r>
  <r>
    <x v="525"/>
    <x v="263"/>
    <x v="442"/>
    <x v="1"/>
    <x v="1"/>
    <x v="6"/>
    <x v="1"/>
    <x v="347"/>
    <x v="454"/>
    <x v="459"/>
    <x v="427"/>
    <x v="3"/>
    <x v="1"/>
    <x v="33"/>
  </r>
  <r>
    <x v="526"/>
    <x v="84"/>
    <x v="443"/>
    <x v="2"/>
    <x v="0"/>
    <x v="13"/>
    <x v="0"/>
    <x v="109"/>
    <x v="455"/>
    <x v="460"/>
    <x v="428"/>
    <x v="1"/>
    <x v="2"/>
    <x v="5"/>
  </r>
  <r>
    <x v="527"/>
    <x v="213"/>
    <x v="405"/>
    <x v="4"/>
    <x v="2"/>
    <x v="12"/>
    <x v="3"/>
    <x v="348"/>
    <x v="456"/>
    <x v="461"/>
    <x v="429"/>
    <x v="0"/>
    <x v="0"/>
    <x v="32"/>
  </r>
  <r>
    <x v="528"/>
    <x v="64"/>
    <x v="444"/>
    <x v="3"/>
    <x v="2"/>
    <x v="5"/>
    <x v="2"/>
    <x v="349"/>
    <x v="457"/>
    <x v="188"/>
    <x v="291"/>
    <x v="3"/>
    <x v="1"/>
    <x v="83"/>
  </r>
  <r>
    <x v="529"/>
    <x v="142"/>
    <x v="445"/>
    <x v="2"/>
    <x v="1"/>
    <x v="14"/>
    <x v="4"/>
    <x v="350"/>
    <x v="458"/>
    <x v="462"/>
    <x v="430"/>
    <x v="0"/>
    <x v="1"/>
    <x v="21"/>
  </r>
  <r>
    <x v="530"/>
    <x v="188"/>
    <x v="446"/>
    <x v="2"/>
    <x v="3"/>
    <x v="7"/>
    <x v="0"/>
    <x v="315"/>
    <x v="459"/>
    <x v="463"/>
    <x v="431"/>
    <x v="3"/>
    <x v="1"/>
    <x v="68"/>
  </r>
  <r>
    <x v="531"/>
    <x v="206"/>
    <x v="447"/>
    <x v="3"/>
    <x v="1"/>
    <x v="6"/>
    <x v="1"/>
    <x v="116"/>
    <x v="127"/>
    <x v="464"/>
    <x v="80"/>
    <x v="2"/>
    <x v="1"/>
    <x v="15"/>
  </r>
  <r>
    <x v="532"/>
    <x v="186"/>
    <x v="448"/>
    <x v="1"/>
    <x v="2"/>
    <x v="2"/>
    <x v="1"/>
    <x v="34"/>
    <x v="460"/>
    <x v="401"/>
    <x v="432"/>
    <x v="3"/>
    <x v="1"/>
    <x v="89"/>
  </r>
  <r>
    <x v="533"/>
    <x v="271"/>
    <x v="449"/>
    <x v="2"/>
    <x v="0"/>
    <x v="13"/>
    <x v="0"/>
    <x v="35"/>
    <x v="130"/>
    <x v="465"/>
    <x v="433"/>
    <x v="3"/>
    <x v="2"/>
    <x v="5"/>
  </r>
  <r>
    <x v="534"/>
    <x v="133"/>
    <x v="450"/>
    <x v="1"/>
    <x v="0"/>
    <x v="3"/>
    <x v="3"/>
    <x v="85"/>
    <x v="184"/>
    <x v="466"/>
    <x v="434"/>
    <x v="0"/>
    <x v="1"/>
    <x v="78"/>
  </r>
  <r>
    <x v="535"/>
    <x v="161"/>
    <x v="451"/>
    <x v="1"/>
    <x v="2"/>
    <x v="2"/>
    <x v="2"/>
    <x v="351"/>
    <x v="461"/>
    <x v="467"/>
    <x v="435"/>
    <x v="1"/>
    <x v="0"/>
    <x v="94"/>
  </r>
  <r>
    <x v="536"/>
    <x v="272"/>
    <x v="186"/>
    <x v="2"/>
    <x v="1"/>
    <x v="6"/>
    <x v="3"/>
    <x v="264"/>
    <x v="462"/>
    <x v="156"/>
    <x v="436"/>
    <x v="0"/>
    <x v="0"/>
    <x v="91"/>
  </r>
  <r>
    <x v="537"/>
    <x v="273"/>
    <x v="452"/>
    <x v="0"/>
    <x v="2"/>
    <x v="12"/>
    <x v="3"/>
    <x v="313"/>
    <x v="399"/>
    <x v="387"/>
    <x v="437"/>
    <x v="3"/>
    <x v="2"/>
    <x v="64"/>
  </r>
  <r>
    <x v="538"/>
    <x v="45"/>
    <x v="453"/>
    <x v="1"/>
    <x v="1"/>
    <x v="1"/>
    <x v="3"/>
    <x v="352"/>
    <x v="395"/>
    <x v="468"/>
    <x v="438"/>
    <x v="3"/>
    <x v="1"/>
    <x v="75"/>
  </r>
  <r>
    <x v="539"/>
    <x v="274"/>
    <x v="454"/>
    <x v="4"/>
    <x v="3"/>
    <x v="7"/>
    <x v="1"/>
    <x v="218"/>
    <x v="463"/>
    <x v="469"/>
    <x v="439"/>
    <x v="0"/>
    <x v="1"/>
    <x v="64"/>
  </r>
  <r>
    <x v="540"/>
    <x v="275"/>
    <x v="455"/>
    <x v="4"/>
    <x v="3"/>
    <x v="9"/>
    <x v="1"/>
    <x v="353"/>
    <x v="464"/>
    <x v="470"/>
    <x v="49"/>
    <x v="0"/>
    <x v="2"/>
    <x v="24"/>
  </r>
  <r>
    <x v="541"/>
    <x v="276"/>
    <x v="456"/>
    <x v="3"/>
    <x v="0"/>
    <x v="0"/>
    <x v="1"/>
    <x v="354"/>
    <x v="465"/>
    <x v="471"/>
    <x v="440"/>
    <x v="2"/>
    <x v="0"/>
    <x v="4"/>
  </r>
  <r>
    <x v="542"/>
    <x v="150"/>
    <x v="457"/>
    <x v="3"/>
    <x v="0"/>
    <x v="3"/>
    <x v="3"/>
    <x v="45"/>
    <x v="466"/>
    <x v="472"/>
    <x v="441"/>
    <x v="1"/>
    <x v="1"/>
    <x v="52"/>
  </r>
  <r>
    <x v="543"/>
    <x v="187"/>
    <x v="458"/>
    <x v="4"/>
    <x v="0"/>
    <x v="13"/>
    <x v="0"/>
    <x v="355"/>
    <x v="467"/>
    <x v="8"/>
    <x v="442"/>
    <x v="3"/>
    <x v="2"/>
    <x v="4"/>
  </r>
  <r>
    <x v="544"/>
    <x v="236"/>
    <x v="459"/>
    <x v="3"/>
    <x v="0"/>
    <x v="3"/>
    <x v="3"/>
    <x v="345"/>
    <x v="468"/>
    <x v="473"/>
    <x v="443"/>
    <x v="1"/>
    <x v="1"/>
    <x v="42"/>
  </r>
  <r>
    <x v="545"/>
    <x v="38"/>
    <x v="460"/>
    <x v="4"/>
    <x v="1"/>
    <x v="6"/>
    <x v="3"/>
    <x v="356"/>
    <x v="147"/>
    <x v="474"/>
    <x v="444"/>
    <x v="3"/>
    <x v="0"/>
    <x v="42"/>
  </r>
  <r>
    <x v="546"/>
    <x v="25"/>
    <x v="461"/>
    <x v="2"/>
    <x v="2"/>
    <x v="4"/>
    <x v="3"/>
    <x v="340"/>
    <x v="469"/>
    <x v="475"/>
    <x v="445"/>
    <x v="2"/>
    <x v="1"/>
    <x v="43"/>
  </r>
  <r>
    <x v="547"/>
    <x v="251"/>
    <x v="462"/>
    <x v="4"/>
    <x v="3"/>
    <x v="8"/>
    <x v="0"/>
    <x v="272"/>
    <x v="470"/>
    <x v="476"/>
    <x v="148"/>
    <x v="0"/>
    <x v="2"/>
    <x v="9"/>
  </r>
  <r>
    <x v="548"/>
    <x v="273"/>
    <x v="463"/>
    <x v="0"/>
    <x v="1"/>
    <x v="10"/>
    <x v="1"/>
    <x v="83"/>
    <x v="471"/>
    <x v="279"/>
    <x v="446"/>
    <x v="1"/>
    <x v="2"/>
    <x v="22"/>
  </r>
  <r>
    <x v="549"/>
    <x v="64"/>
    <x v="364"/>
    <x v="4"/>
    <x v="1"/>
    <x v="14"/>
    <x v="0"/>
    <x v="89"/>
    <x v="472"/>
    <x v="477"/>
    <x v="447"/>
    <x v="1"/>
    <x v="0"/>
    <x v="23"/>
  </r>
  <r>
    <x v="550"/>
    <x v="277"/>
    <x v="464"/>
    <x v="2"/>
    <x v="3"/>
    <x v="9"/>
    <x v="1"/>
    <x v="273"/>
    <x v="473"/>
    <x v="13"/>
    <x v="321"/>
    <x v="2"/>
    <x v="2"/>
    <x v="62"/>
  </r>
  <r>
    <x v="551"/>
    <x v="266"/>
    <x v="465"/>
    <x v="3"/>
    <x v="0"/>
    <x v="3"/>
    <x v="0"/>
    <x v="321"/>
    <x v="406"/>
    <x v="319"/>
    <x v="448"/>
    <x v="2"/>
    <x v="1"/>
    <x v="32"/>
  </r>
  <r>
    <x v="552"/>
    <x v="180"/>
    <x v="466"/>
    <x v="0"/>
    <x v="1"/>
    <x v="6"/>
    <x v="3"/>
    <x v="357"/>
    <x v="474"/>
    <x v="137"/>
    <x v="138"/>
    <x v="2"/>
    <x v="0"/>
    <x v="4"/>
  </r>
  <r>
    <x v="553"/>
    <x v="219"/>
    <x v="467"/>
    <x v="3"/>
    <x v="1"/>
    <x v="1"/>
    <x v="3"/>
    <x v="358"/>
    <x v="139"/>
    <x v="473"/>
    <x v="213"/>
    <x v="2"/>
    <x v="2"/>
    <x v="71"/>
  </r>
  <r>
    <x v="554"/>
    <x v="278"/>
    <x v="468"/>
    <x v="4"/>
    <x v="3"/>
    <x v="9"/>
    <x v="3"/>
    <x v="152"/>
    <x v="475"/>
    <x v="354"/>
    <x v="449"/>
    <x v="1"/>
    <x v="0"/>
    <x v="48"/>
  </r>
  <r>
    <x v="555"/>
    <x v="279"/>
    <x v="469"/>
    <x v="3"/>
    <x v="0"/>
    <x v="0"/>
    <x v="2"/>
    <x v="64"/>
    <x v="476"/>
    <x v="168"/>
    <x v="450"/>
    <x v="0"/>
    <x v="2"/>
    <x v="33"/>
  </r>
  <r>
    <x v="556"/>
    <x v="245"/>
    <x v="470"/>
    <x v="0"/>
    <x v="3"/>
    <x v="7"/>
    <x v="3"/>
    <x v="359"/>
    <x v="477"/>
    <x v="478"/>
    <x v="438"/>
    <x v="2"/>
    <x v="2"/>
    <x v="77"/>
  </r>
  <r>
    <x v="557"/>
    <x v="280"/>
    <x v="165"/>
    <x v="1"/>
    <x v="0"/>
    <x v="13"/>
    <x v="0"/>
    <x v="33"/>
    <x v="478"/>
    <x v="479"/>
    <x v="451"/>
    <x v="2"/>
    <x v="2"/>
    <x v="1"/>
  </r>
  <r>
    <x v="558"/>
    <x v="50"/>
    <x v="363"/>
    <x v="1"/>
    <x v="3"/>
    <x v="7"/>
    <x v="0"/>
    <x v="360"/>
    <x v="479"/>
    <x v="480"/>
    <x v="452"/>
    <x v="1"/>
    <x v="2"/>
    <x v="95"/>
  </r>
  <r>
    <x v="559"/>
    <x v="281"/>
    <x v="471"/>
    <x v="2"/>
    <x v="3"/>
    <x v="8"/>
    <x v="2"/>
    <x v="361"/>
    <x v="480"/>
    <x v="239"/>
    <x v="394"/>
    <x v="3"/>
    <x v="1"/>
    <x v="93"/>
  </r>
  <r>
    <x v="560"/>
    <x v="98"/>
    <x v="472"/>
    <x v="1"/>
    <x v="3"/>
    <x v="8"/>
    <x v="1"/>
    <x v="362"/>
    <x v="481"/>
    <x v="481"/>
    <x v="73"/>
    <x v="2"/>
    <x v="2"/>
    <x v="9"/>
  </r>
  <r>
    <x v="561"/>
    <x v="118"/>
    <x v="473"/>
    <x v="0"/>
    <x v="1"/>
    <x v="1"/>
    <x v="1"/>
    <x v="39"/>
    <x v="482"/>
    <x v="482"/>
    <x v="453"/>
    <x v="0"/>
    <x v="2"/>
    <x v="5"/>
  </r>
  <r>
    <x v="562"/>
    <x v="262"/>
    <x v="315"/>
    <x v="0"/>
    <x v="1"/>
    <x v="10"/>
    <x v="2"/>
    <x v="228"/>
    <x v="362"/>
    <x v="483"/>
    <x v="454"/>
    <x v="0"/>
    <x v="1"/>
    <x v="8"/>
  </r>
  <r>
    <x v="563"/>
    <x v="238"/>
    <x v="474"/>
    <x v="1"/>
    <x v="1"/>
    <x v="14"/>
    <x v="1"/>
    <x v="191"/>
    <x v="483"/>
    <x v="165"/>
    <x v="455"/>
    <x v="0"/>
    <x v="2"/>
    <x v="71"/>
  </r>
  <r>
    <x v="564"/>
    <x v="151"/>
    <x v="273"/>
    <x v="0"/>
    <x v="1"/>
    <x v="10"/>
    <x v="4"/>
    <x v="105"/>
    <x v="484"/>
    <x v="484"/>
    <x v="39"/>
    <x v="3"/>
    <x v="2"/>
    <x v="43"/>
  </r>
  <r>
    <x v="565"/>
    <x v="282"/>
    <x v="451"/>
    <x v="3"/>
    <x v="2"/>
    <x v="5"/>
    <x v="0"/>
    <x v="363"/>
    <x v="485"/>
    <x v="485"/>
    <x v="325"/>
    <x v="2"/>
    <x v="0"/>
    <x v="53"/>
  </r>
  <r>
    <x v="566"/>
    <x v="54"/>
    <x v="475"/>
    <x v="3"/>
    <x v="3"/>
    <x v="7"/>
    <x v="2"/>
    <x v="297"/>
    <x v="486"/>
    <x v="486"/>
    <x v="176"/>
    <x v="0"/>
    <x v="0"/>
    <x v="88"/>
  </r>
  <r>
    <x v="567"/>
    <x v="138"/>
    <x v="476"/>
    <x v="1"/>
    <x v="1"/>
    <x v="6"/>
    <x v="4"/>
    <x v="364"/>
    <x v="487"/>
    <x v="487"/>
    <x v="456"/>
    <x v="1"/>
    <x v="2"/>
    <x v="48"/>
  </r>
  <r>
    <x v="568"/>
    <x v="241"/>
    <x v="477"/>
    <x v="1"/>
    <x v="3"/>
    <x v="9"/>
    <x v="3"/>
    <x v="59"/>
    <x v="119"/>
    <x v="488"/>
    <x v="457"/>
    <x v="3"/>
    <x v="0"/>
    <x v="46"/>
  </r>
  <r>
    <x v="569"/>
    <x v="283"/>
    <x v="478"/>
    <x v="3"/>
    <x v="0"/>
    <x v="0"/>
    <x v="0"/>
    <x v="365"/>
    <x v="488"/>
    <x v="489"/>
    <x v="458"/>
    <x v="0"/>
    <x v="1"/>
    <x v="68"/>
  </r>
  <r>
    <x v="570"/>
    <x v="284"/>
    <x v="479"/>
    <x v="2"/>
    <x v="3"/>
    <x v="7"/>
    <x v="0"/>
    <x v="366"/>
    <x v="489"/>
    <x v="490"/>
    <x v="459"/>
    <x v="0"/>
    <x v="2"/>
    <x v="17"/>
  </r>
  <r>
    <x v="571"/>
    <x v="230"/>
    <x v="480"/>
    <x v="4"/>
    <x v="2"/>
    <x v="5"/>
    <x v="0"/>
    <x v="189"/>
    <x v="215"/>
    <x v="491"/>
    <x v="460"/>
    <x v="1"/>
    <x v="2"/>
    <x v="92"/>
  </r>
  <r>
    <x v="572"/>
    <x v="26"/>
    <x v="441"/>
    <x v="4"/>
    <x v="1"/>
    <x v="1"/>
    <x v="1"/>
    <x v="367"/>
    <x v="490"/>
    <x v="492"/>
    <x v="461"/>
    <x v="1"/>
    <x v="1"/>
    <x v="88"/>
  </r>
  <r>
    <x v="573"/>
    <x v="68"/>
    <x v="419"/>
    <x v="3"/>
    <x v="1"/>
    <x v="10"/>
    <x v="4"/>
    <x v="301"/>
    <x v="405"/>
    <x v="493"/>
    <x v="462"/>
    <x v="2"/>
    <x v="2"/>
    <x v="36"/>
  </r>
  <r>
    <x v="574"/>
    <x v="201"/>
    <x v="481"/>
    <x v="4"/>
    <x v="3"/>
    <x v="8"/>
    <x v="3"/>
    <x v="168"/>
    <x v="281"/>
    <x v="494"/>
    <x v="463"/>
    <x v="2"/>
    <x v="0"/>
    <x v="13"/>
  </r>
  <r>
    <x v="575"/>
    <x v="144"/>
    <x v="482"/>
    <x v="0"/>
    <x v="2"/>
    <x v="4"/>
    <x v="3"/>
    <x v="368"/>
    <x v="491"/>
    <x v="196"/>
    <x v="228"/>
    <x v="0"/>
    <x v="1"/>
    <x v="0"/>
  </r>
  <r>
    <x v="576"/>
    <x v="219"/>
    <x v="483"/>
    <x v="2"/>
    <x v="3"/>
    <x v="8"/>
    <x v="2"/>
    <x v="315"/>
    <x v="401"/>
    <x v="495"/>
    <x v="434"/>
    <x v="3"/>
    <x v="0"/>
    <x v="30"/>
  </r>
  <r>
    <x v="577"/>
    <x v="53"/>
    <x v="355"/>
    <x v="1"/>
    <x v="2"/>
    <x v="2"/>
    <x v="2"/>
    <x v="332"/>
    <x v="492"/>
    <x v="496"/>
    <x v="304"/>
    <x v="1"/>
    <x v="0"/>
    <x v="73"/>
  </r>
  <r>
    <x v="578"/>
    <x v="285"/>
    <x v="484"/>
    <x v="3"/>
    <x v="0"/>
    <x v="3"/>
    <x v="4"/>
    <x v="46"/>
    <x v="493"/>
    <x v="497"/>
    <x v="464"/>
    <x v="3"/>
    <x v="1"/>
    <x v="65"/>
  </r>
  <r>
    <x v="579"/>
    <x v="268"/>
    <x v="485"/>
    <x v="0"/>
    <x v="1"/>
    <x v="14"/>
    <x v="2"/>
    <x v="369"/>
    <x v="494"/>
    <x v="498"/>
    <x v="465"/>
    <x v="3"/>
    <x v="0"/>
    <x v="28"/>
  </r>
  <r>
    <x v="580"/>
    <x v="80"/>
    <x v="276"/>
    <x v="1"/>
    <x v="0"/>
    <x v="13"/>
    <x v="4"/>
    <x v="370"/>
    <x v="495"/>
    <x v="499"/>
    <x v="466"/>
    <x v="1"/>
    <x v="0"/>
    <x v="77"/>
  </r>
  <r>
    <x v="581"/>
    <x v="286"/>
    <x v="375"/>
    <x v="0"/>
    <x v="0"/>
    <x v="0"/>
    <x v="4"/>
    <x v="371"/>
    <x v="496"/>
    <x v="500"/>
    <x v="400"/>
    <x v="1"/>
    <x v="1"/>
    <x v="7"/>
  </r>
  <r>
    <x v="582"/>
    <x v="44"/>
    <x v="486"/>
    <x v="0"/>
    <x v="3"/>
    <x v="9"/>
    <x v="0"/>
    <x v="199"/>
    <x v="497"/>
    <x v="14"/>
    <x v="467"/>
    <x v="0"/>
    <x v="2"/>
    <x v="93"/>
  </r>
  <r>
    <x v="583"/>
    <x v="215"/>
    <x v="487"/>
    <x v="0"/>
    <x v="3"/>
    <x v="8"/>
    <x v="1"/>
    <x v="321"/>
    <x v="498"/>
    <x v="501"/>
    <x v="468"/>
    <x v="2"/>
    <x v="0"/>
    <x v="43"/>
  </r>
  <r>
    <x v="584"/>
    <x v="226"/>
    <x v="353"/>
    <x v="0"/>
    <x v="1"/>
    <x v="6"/>
    <x v="1"/>
    <x v="372"/>
    <x v="243"/>
    <x v="502"/>
    <x v="329"/>
    <x v="1"/>
    <x v="2"/>
    <x v="82"/>
  </r>
  <r>
    <x v="585"/>
    <x v="266"/>
    <x v="488"/>
    <x v="3"/>
    <x v="2"/>
    <x v="12"/>
    <x v="2"/>
    <x v="373"/>
    <x v="499"/>
    <x v="198"/>
    <x v="469"/>
    <x v="0"/>
    <x v="2"/>
    <x v="85"/>
  </r>
  <r>
    <x v="586"/>
    <x v="182"/>
    <x v="489"/>
    <x v="3"/>
    <x v="3"/>
    <x v="9"/>
    <x v="0"/>
    <x v="374"/>
    <x v="500"/>
    <x v="503"/>
    <x v="470"/>
    <x v="0"/>
    <x v="2"/>
    <x v="89"/>
  </r>
  <r>
    <x v="587"/>
    <x v="93"/>
    <x v="482"/>
    <x v="0"/>
    <x v="2"/>
    <x v="12"/>
    <x v="2"/>
    <x v="375"/>
    <x v="501"/>
    <x v="504"/>
    <x v="471"/>
    <x v="0"/>
    <x v="0"/>
    <x v="43"/>
  </r>
  <r>
    <x v="588"/>
    <x v="287"/>
    <x v="490"/>
    <x v="3"/>
    <x v="0"/>
    <x v="0"/>
    <x v="0"/>
    <x v="376"/>
    <x v="502"/>
    <x v="505"/>
    <x v="472"/>
    <x v="3"/>
    <x v="1"/>
    <x v="86"/>
  </r>
  <r>
    <x v="589"/>
    <x v="71"/>
    <x v="491"/>
    <x v="4"/>
    <x v="3"/>
    <x v="8"/>
    <x v="1"/>
    <x v="224"/>
    <x v="353"/>
    <x v="506"/>
    <x v="473"/>
    <x v="3"/>
    <x v="2"/>
    <x v="27"/>
  </r>
  <r>
    <x v="590"/>
    <x v="86"/>
    <x v="165"/>
    <x v="2"/>
    <x v="2"/>
    <x v="5"/>
    <x v="4"/>
    <x v="377"/>
    <x v="503"/>
    <x v="507"/>
    <x v="474"/>
    <x v="0"/>
    <x v="2"/>
    <x v="35"/>
  </r>
  <r>
    <x v="591"/>
    <x v="245"/>
    <x v="492"/>
    <x v="1"/>
    <x v="1"/>
    <x v="14"/>
    <x v="0"/>
    <x v="199"/>
    <x v="497"/>
    <x v="508"/>
    <x v="475"/>
    <x v="3"/>
    <x v="0"/>
    <x v="51"/>
  </r>
  <r>
    <x v="592"/>
    <x v="73"/>
    <x v="192"/>
    <x v="3"/>
    <x v="0"/>
    <x v="13"/>
    <x v="2"/>
    <x v="164"/>
    <x v="504"/>
    <x v="509"/>
    <x v="476"/>
    <x v="2"/>
    <x v="1"/>
    <x v="25"/>
  </r>
  <r>
    <x v="593"/>
    <x v="288"/>
    <x v="493"/>
    <x v="4"/>
    <x v="1"/>
    <x v="1"/>
    <x v="3"/>
    <x v="378"/>
    <x v="245"/>
    <x v="510"/>
    <x v="348"/>
    <x v="1"/>
    <x v="2"/>
    <x v="93"/>
  </r>
  <r>
    <x v="594"/>
    <x v="289"/>
    <x v="494"/>
    <x v="4"/>
    <x v="0"/>
    <x v="0"/>
    <x v="4"/>
    <x v="379"/>
    <x v="505"/>
    <x v="511"/>
    <x v="477"/>
    <x v="0"/>
    <x v="1"/>
    <x v="7"/>
  </r>
  <r>
    <x v="595"/>
    <x v="205"/>
    <x v="315"/>
    <x v="1"/>
    <x v="0"/>
    <x v="13"/>
    <x v="1"/>
    <x v="29"/>
    <x v="506"/>
    <x v="512"/>
    <x v="102"/>
    <x v="0"/>
    <x v="0"/>
    <x v="87"/>
  </r>
  <r>
    <x v="596"/>
    <x v="124"/>
    <x v="495"/>
    <x v="4"/>
    <x v="1"/>
    <x v="10"/>
    <x v="3"/>
    <x v="143"/>
    <x v="457"/>
    <x v="382"/>
    <x v="478"/>
    <x v="2"/>
    <x v="0"/>
    <x v="60"/>
  </r>
  <r>
    <x v="597"/>
    <x v="290"/>
    <x v="496"/>
    <x v="3"/>
    <x v="1"/>
    <x v="10"/>
    <x v="0"/>
    <x v="193"/>
    <x v="220"/>
    <x v="513"/>
    <x v="479"/>
    <x v="2"/>
    <x v="0"/>
    <x v="42"/>
  </r>
  <r>
    <x v="598"/>
    <x v="291"/>
    <x v="234"/>
    <x v="3"/>
    <x v="1"/>
    <x v="14"/>
    <x v="3"/>
    <x v="303"/>
    <x v="507"/>
    <x v="514"/>
    <x v="350"/>
    <x v="3"/>
    <x v="2"/>
    <x v="66"/>
  </r>
  <r>
    <x v="599"/>
    <x v="41"/>
    <x v="497"/>
    <x v="4"/>
    <x v="1"/>
    <x v="6"/>
    <x v="1"/>
    <x v="380"/>
    <x v="508"/>
    <x v="24"/>
    <x v="480"/>
    <x v="1"/>
    <x v="0"/>
    <x v="7"/>
  </r>
  <r>
    <x v="600"/>
    <x v="283"/>
    <x v="131"/>
    <x v="2"/>
    <x v="1"/>
    <x v="1"/>
    <x v="3"/>
    <x v="252"/>
    <x v="509"/>
    <x v="345"/>
    <x v="481"/>
    <x v="1"/>
    <x v="2"/>
    <x v="34"/>
  </r>
  <r>
    <x v="601"/>
    <x v="70"/>
    <x v="498"/>
    <x v="4"/>
    <x v="1"/>
    <x v="6"/>
    <x v="3"/>
    <x v="94"/>
    <x v="134"/>
    <x v="102"/>
    <x v="482"/>
    <x v="1"/>
    <x v="1"/>
    <x v="6"/>
  </r>
  <r>
    <x v="602"/>
    <x v="209"/>
    <x v="499"/>
    <x v="0"/>
    <x v="3"/>
    <x v="8"/>
    <x v="4"/>
    <x v="77"/>
    <x v="510"/>
    <x v="384"/>
    <x v="102"/>
    <x v="2"/>
    <x v="2"/>
    <x v="72"/>
  </r>
  <r>
    <x v="603"/>
    <x v="292"/>
    <x v="500"/>
    <x v="2"/>
    <x v="1"/>
    <x v="6"/>
    <x v="1"/>
    <x v="2"/>
    <x v="2"/>
    <x v="502"/>
    <x v="483"/>
    <x v="3"/>
    <x v="2"/>
    <x v="54"/>
  </r>
  <r>
    <x v="604"/>
    <x v="236"/>
    <x v="501"/>
    <x v="4"/>
    <x v="1"/>
    <x v="6"/>
    <x v="4"/>
    <x v="371"/>
    <x v="496"/>
    <x v="515"/>
    <x v="484"/>
    <x v="2"/>
    <x v="0"/>
    <x v="41"/>
  </r>
  <r>
    <x v="605"/>
    <x v="223"/>
    <x v="20"/>
    <x v="1"/>
    <x v="0"/>
    <x v="13"/>
    <x v="2"/>
    <x v="144"/>
    <x v="511"/>
    <x v="92"/>
    <x v="46"/>
    <x v="1"/>
    <x v="1"/>
    <x v="19"/>
  </r>
  <r>
    <x v="606"/>
    <x v="293"/>
    <x v="502"/>
    <x v="1"/>
    <x v="1"/>
    <x v="1"/>
    <x v="3"/>
    <x v="261"/>
    <x v="512"/>
    <x v="52"/>
    <x v="485"/>
    <x v="3"/>
    <x v="2"/>
    <x v="86"/>
  </r>
  <r>
    <x v="607"/>
    <x v="294"/>
    <x v="37"/>
    <x v="0"/>
    <x v="2"/>
    <x v="11"/>
    <x v="3"/>
    <x v="381"/>
    <x v="513"/>
    <x v="516"/>
    <x v="486"/>
    <x v="2"/>
    <x v="2"/>
    <x v="43"/>
  </r>
  <r>
    <x v="608"/>
    <x v="166"/>
    <x v="283"/>
    <x v="0"/>
    <x v="1"/>
    <x v="10"/>
    <x v="2"/>
    <x v="382"/>
    <x v="514"/>
    <x v="517"/>
    <x v="183"/>
    <x v="2"/>
    <x v="1"/>
    <x v="18"/>
  </r>
  <r>
    <x v="609"/>
    <x v="193"/>
    <x v="503"/>
    <x v="1"/>
    <x v="1"/>
    <x v="6"/>
    <x v="3"/>
    <x v="220"/>
    <x v="262"/>
    <x v="518"/>
    <x v="487"/>
    <x v="2"/>
    <x v="0"/>
    <x v="43"/>
  </r>
  <r>
    <x v="610"/>
    <x v="266"/>
    <x v="267"/>
    <x v="3"/>
    <x v="3"/>
    <x v="7"/>
    <x v="4"/>
    <x v="193"/>
    <x v="515"/>
    <x v="519"/>
    <x v="488"/>
    <x v="0"/>
    <x v="0"/>
    <x v="84"/>
  </r>
  <r>
    <x v="611"/>
    <x v="129"/>
    <x v="504"/>
    <x v="1"/>
    <x v="2"/>
    <x v="5"/>
    <x v="4"/>
    <x v="163"/>
    <x v="516"/>
    <x v="51"/>
    <x v="489"/>
    <x v="0"/>
    <x v="2"/>
    <x v="63"/>
  </r>
  <r>
    <x v="612"/>
    <x v="102"/>
    <x v="276"/>
    <x v="1"/>
    <x v="2"/>
    <x v="4"/>
    <x v="2"/>
    <x v="191"/>
    <x v="217"/>
    <x v="17"/>
    <x v="260"/>
    <x v="1"/>
    <x v="1"/>
    <x v="76"/>
  </r>
  <r>
    <x v="613"/>
    <x v="44"/>
    <x v="505"/>
    <x v="3"/>
    <x v="2"/>
    <x v="2"/>
    <x v="3"/>
    <x v="289"/>
    <x v="517"/>
    <x v="295"/>
    <x v="298"/>
    <x v="3"/>
    <x v="1"/>
    <x v="91"/>
  </r>
  <r>
    <x v="614"/>
    <x v="282"/>
    <x v="475"/>
    <x v="0"/>
    <x v="3"/>
    <x v="7"/>
    <x v="2"/>
    <x v="137"/>
    <x v="518"/>
    <x v="520"/>
    <x v="490"/>
    <x v="1"/>
    <x v="1"/>
    <x v="42"/>
  </r>
  <r>
    <x v="615"/>
    <x v="199"/>
    <x v="506"/>
    <x v="1"/>
    <x v="3"/>
    <x v="7"/>
    <x v="0"/>
    <x v="383"/>
    <x v="519"/>
    <x v="13"/>
    <x v="191"/>
    <x v="1"/>
    <x v="0"/>
    <x v="19"/>
  </r>
  <r>
    <x v="616"/>
    <x v="68"/>
    <x v="507"/>
    <x v="4"/>
    <x v="3"/>
    <x v="8"/>
    <x v="0"/>
    <x v="6"/>
    <x v="394"/>
    <x v="521"/>
    <x v="491"/>
    <x v="3"/>
    <x v="0"/>
    <x v="28"/>
  </r>
  <r>
    <x v="617"/>
    <x v="295"/>
    <x v="203"/>
    <x v="4"/>
    <x v="1"/>
    <x v="14"/>
    <x v="0"/>
    <x v="104"/>
    <x v="520"/>
    <x v="522"/>
    <x v="492"/>
    <x v="1"/>
    <x v="1"/>
    <x v="96"/>
  </r>
  <r>
    <x v="618"/>
    <x v="159"/>
    <x v="508"/>
    <x v="1"/>
    <x v="1"/>
    <x v="1"/>
    <x v="0"/>
    <x v="367"/>
    <x v="521"/>
    <x v="523"/>
    <x v="493"/>
    <x v="3"/>
    <x v="1"/>
    <x v="42"/>
  </r>
  <r>
    <x v="619"/>
    <x v="24"/>
    <x v="424"/>
    <x v="0"/>
    <x v="3"/>
    <x v="7"/>
    <x v="1"/>
    <x v="116"/>
    <x v="127"/>
    <x v="130"/>
    <x v="494"/>
    <x v="1"/>
    <x v="0"/>
    <x v="27"/>
  </r>
  <r>
    <x v="620"/>
    <x v="66"/>
    <x v="509"/>
    <x v="3"/>
    <x v="3"/>
    <x v="9"/>
    <x v="0"/>
    <x v="373"/>
    <x v="522"/>
    <x v="524"/>
    <x v="495"/>
    <x v="2"/>
    <x v="0"/>
    <x v="25"/>
  </r>
  <r>
    <x v="621"/>
    <x v="296"/>
    <x v="510"/>
    <x v="0"/>
    <x v="3"/>
    <x v="9"/>
    <x v="3"/>
    <x v="361"/>
    <x v="523"/>
    <x v="183"/>
    <x v="44"/>
    <x v="3"/>
    <x v="2"/>
    <x v="75"/>
  </r>
  <r>
    <x v="622"/>
    <x v="297"/>
    <x v="511"/>
    <x v="4"/>
    <x v="1"/>
    <x v="14"/>
    <x v="1"/>
    <x v="215"/>
    <x v="524"/>
    <x v="525"/>
    <x v="496"/>
    <x v="0"/>
    <x v="1"/>
    <x v="31"/>
  </r>
  <r>
    <x v="623"/>
    <x v="230"/>
    <x v="512"/>
    <x v="0"/>
    <x v="1"/>
    <x v="1"/>
    <x v="2"/>
    <x v="384"/>
    <x v="475"/>
    <x v="504"/>
    <x v="355"/>
    <x v="1"/>
    <x v="2"/>
    <x v="11"/>
  </r>
  <r>
    <x v="624"/>
    <x v="186"/>
    <x v="257"/>
    <x v="2"/>
    <x v="3"/>
    <x v="9"/>
    <x v="4"/>
    <x v="385"/>
    <x v="92"/>
    <x v="89"/>
    <x v="150"/>
    <x v="2"/>
    <x v="2"/>
    <x v="28"/>
  </r>
  <r>
    <x v="625"/>
    <x v="292"/>
    <x v="513"/>
    <x v="2"/>
    <x v="3"/>
    <x v="9"/>
    <x v="2"/>
    <x v="386"/>
    <x v="525"/>
    <x v="526"/>
    <x v="358"/>
    <x v="2"/>
    <x v="2"/>
    <x v="79"/>
  </r>
  <r>
    <x v="626"/>
    <x v="66"/>
    <x v="514"/>
    <x v="1"/>
    <x v="2"/>
    <x v="11"/>
    <x v="3"/>
    <x v="241"/>
    <x v="526"/>
    <x v="371"/>
    <x v="496"/>
    <x v="0"/>
    <x v="2"/>
    <x v="91"/>
  </r>
  <r>
    <x v="627"/>
    <x v="155"/>
    <x v="515"/>
    <x v="1"/>
    <x v="0"/>
    <x v="0"/>
    <x v="4"/>
    <x v="250"/>
    <x v="527"/>
    <x v="527"/>
    <x v="497"/>
    <x v="1"/>
    <x v="0"/>
    <x v="67"/>
  </r>
  <r>
    <x v="628"/>
    <x v="79"/>
    <x v="478"/>
    <x v="3"/>
    <x v="0"/>
    <x v="0"/>
    <x v="3"/>
    <x v="2"/>
    <x v="93"/>
    <x v="528"/>
    <x v="498"/>
    <x v="2"/>
    <x v="0"/>
    <x v="49"/>
  </r>
  <r>
    <x v="629"/>
    <x v="142"/>
    <x v="250"/>
    <x v="4"/>
    <x v="0"/>
    <x v="3"/>
    <x v="2"/>
    <x v="144"/>
    <x v="511"/>
    <x v="529"/>
    <x v="396"/>
    <x v="3"/>
    <x v="0"/>
    <x v="7"/>
  </r>
  <r>
    <x v="630"/>
    <x v="197"/>
    <x v="210"/>
    <x v="0"/>
    <x v="1"/>
    <x v="6"/>
    <x v="1"/>
    <x v="387"/>
    <x v="528"/>
    <x v="530"/>
    <x v="499"/>
    <x v="0"/>
    <x v="2"/>
    <x v="74"/>
  </r>
  <r>
    <x v="631"/>
    <x v="74"/>
    <x v="64"/>
    <x v="4"/>
    <x v="0"/>
    <x v="13"/>
    <x v="2"/>
    <x v="388"/>
    <x v="529"/>
    <x v="531"/>
    <x v="264"/>
    <x v="2"/>
    <x v="0"/>
    <x v="72"/>
  </r>
  <r>
    <x v="632"/>
    <x v="298"/>
    <x v="516"/>
    <x v="2"/>
    <x v="1"/>
    <x v="1"/>
    <x v="3"/>
    <x v="13"/>
    <x v="530"/>
    <x v="532"/>
    <x v="446"/>
    <x v="2"/>
    <x v="0"/>
    <x v="88"/>
  </r>
  <r>
    <x v="633"/>
    <x v="142"/>
    <x v="388"/>
    <x v="0"/>
    <x v="0"/>
    <x v="0"/>
    <x v="4"/>
    <x v="77"/>
    <x v="510"/>
    <x v="533"/>
    <x v="500"/>
    <x v="0"/>
    <x v="1"/>
    <x v="29"/>
  </r>
  <r>
    <x v="634"/>
    <x v="189"/>
    <x v="517"/>
    <x v="3"/>
    <x v="2"/>
    <x v="4"/>
    <x v="4"/>
    <x v="183"/>
    <x v="531"/>
    <x v="534"/>
    <x v="501"/>
    <x v="3"/>
    <x v="2"/>
    <x v="23"/>
  </r>
  <r>
    <x v="635"/>
    <x v="223"/>
    <x v="518"/>
    <x v="1"/>
    <x v="3"/>
    <x v="9"/>
    <x v="3"/>
    <x v="127"/>
    <x v="532"/>
    <x v="535"/>
    <x v="502"/>
    <x v="1"/>
    <x v="0"/>
    <x v="35"/>
  </r>
  <r>
    <x v="636"/>
    <x v="282"/>
    <x v="519"/>
    <x v="0"/>
    <x v="3"/>
    <x v="8"/>
    <x v="1"/>
    <x v="389"/>
    <x v="533"/>
    <x v="234"/>
    <x v="477"/>
    <x v="2"/>
    <x v="2"/>
    <x v="49"/>
  </r>
  <r>
    <x v="637"/>
    <x v="299"/>
    <x v="324"/>
    <x v="3"/>
    <x v="0"/>
    <x v="3"/>
    <x v="4"/>
    <x v="370"/>
    <x v="495"/>
    <x v="91"/>
    <x v="503"/>
    <x v="0"/>
    <x v="1"/>
    <x v="91"/>
  </r>
  <r>
    <x v="638"/>
    <x v="234"/>
    <x v="520"/>
    <x v="2"/>
    <x v="3"/>
    <x v="8"/>
    <x v="1"/>
    <x v="88"/>
    <x v="534"/>
    <x v="160"/>
    <x v="221"/>
    <x v="3"/>
    <x v="2"/>
    <x v="84"/>
  </r>
  <r>
    <x v="639"/>
    <x v="197"/>
    <x v="411"/>
    <x v="1"/>
    <x v="0"/>
    <x v="3"/>
    <x v="3"/>
    <x v="344"/>
    <x v="535"/>
    <x v="376"/>
    <x v="481"/>
    <x v="2"/>
    <x v="1"/>
    <x v="55"/>
  </r>
  <r>
    <x v="640"/>
    <x v="123"/>
    <x v="521"/>
    <x v="0"/>
    <x v="0"/>
    <x v="0"/>
    <x v="2"/>
    <x v="385"/>
    <x v="536"/>
    <x v="536"/>
    <x v="504"/>
    <x v="0"/>
    <x v="1"/>
    <x v="73"/>
  </r>
  <r>
    <x v="641"/>
    <x v="123"/>
    <x v="522"/>
    <x v="4"/>
    <x v="3"/>
    <x v="7"/>
    <x v="0"/>
    <x v="390"/>
    <x v="537"/>
    <x v="537"/>
    <x v="505"/>
    <x v="2"/>
    <x v="1"/>
    <x v="36"/>
  </r>
  <r>
    <x v="642"/>
    <x v="69"/>
    <x v="523"/>
    <x v="3"/>
    <x v="3"/>
    <x v="8"/>
    <x v="4"/>
    <x v="256"/>
    <x v="308"/>
    <x v="60"/>
    <x v="344"/>
    <x v="1"/>
    <x v="0"/>
    <x v="17"/>
  </r>
  <r>
    <x v="643"/>
    <x v="69"/>
    <x v="524"/>
    <x v="3"/>
    <x v="2"/>
    <x v="5"/>
    <x v="2"/>
    <x v="391"/>
    <x v="538"/>
    <x v="538"/>
    <x v="119"/>
    <x v="0"/>
    <x v="2"/>
    <x v="12"/>
  </r>
  <r>
    <x v="644"/>
    <x v="56"/>
    <x v="525"/>
    <x v="1"/>
    <x v="2"/>
    <x v="5"/>
    <x v="2"/>
    <x v="392"/>
    <x v="539"/>
    <x v="539"/>
    <x v="506"/>
    <x v="3"/>
    <x v="0"/>
    <x v="75"/>
  </r>
  <r>
    <x v="645"/>
    <x v="200"/>
    <x v="526"/>
    <x v="1"/>
    <x v="3"/>
    <x v="9"/>
    <x v="3"/>
    <x v="393"/>
    <x v="540"/>
    <x v="540"/>
    <x v="507"/>
    <x v="3"/>
    <x v="0"/>
    <x v="90"/>
  </r>
  <r>
    <x v="646"/>
    <x v="300"/>
    <x v="527"/>
    <x v="1"/>
    <x v="1"/>
    <x v="10"/>
    <x v="1"/>
    <x v="382"/>
    <x v="541"/>
    <x v="541"/>
    <x v="508"/>
    <x v="0"/>
    <x v="2"/>
    <x v="2"/>
  </r>
  <r>
    <x v="647"/>
    <x v="291"/>
    <x v="99"/>
    <x v="0"/>
    <x v="3"/>
    <x v="7"/>
    <x v="4"/>
    <x v="380"/>
    <x v="542"/>
    <x v="542"/>
    <x v="509"/>
    <x v="3"/>
    <x v="1"/>
    <x v="40"/>
  </r>
  <r>
    <x v="648"/>
    <x v="294"/>
    <x v="528"/>
    <x v="3"/>
    <x v="3"/>
    <x v="7"/>
    <x v="1"/>
    <x v="231"/>
    <x v="543"/>
    <x v="543"/>
    <x v="510"/>
    <x v="2"/>
    <x v="2"/>
    <x v="37"/>
  </r>
  <r>
    <x v="649"/>
    <x v="301"/>
    <x v="337"/>
    <x v="1"/>
    <x v="2"/>
    <x v="2"/>
    <x v="4"/>
    <x v="314"/>
    <x v="544"/>
    <x v="544"/>
    <x v="511"/>
    <x v="0"/>
    <x v="1"/>
    <x v="44"/>
  </r>
  <r>
    <x v="650"/>
    <x v="217"/>
    <x v="167"/>
    <x v="2"/>
    <x v="0"/>
    <x v="0"/>
    <x v="4"/>
    <x v="123"/>
    <x v="545"/>
    <x v="7"/>
    <x v="512"/>
    <x v="1"/>
    <x v="0"/>
    <x v="88"/>
  </r>
  <r>
    <x v="651"/>
    <x v="158"/>
    <x v="529"/>
    <x v="0"/>
    <x v="0"/>
    <x v="13"/>
    <x v="3"/>
    <x v="40"/>
    <x v="2"/>
    <x v="545"/>
    <x v="513"/>
    <x v="2"/>
    <x v="1"/>
    <x v="57"/>
  </r>
  <r>
    <x v="652"/>
    <x v="302"/>
    <x v="530"/>
    <x v="1"/>
    <x v="3"/>
    <x v="8"/>
    <x v="3"/>
    <x v="394"/>
    <x v="501"/>
    <x v="215"/>
    <x v="514"/>
    <x v="2"/>
    <x v="1"/>
    <x v="4"/>
  </r>
  <r>
    <x v="653"/>
    <x v="40"/>
    <x v="22"/>
    <x v="1"/>
    <x v="3"/>
    <x v="8"/>
    <x v="1"/>
    <x v="395"/>
    <x v="546"/>
    <x v="546"/>
    <x v="515"/>
    <x v="3"/>
    <x v="2"/>
    <x v="63"/>
  </r>
  <r>
    <x v="654"/>
    <x v="119"/>
    <x v="462"/>
    <x v="3"/>
    <x v="1"/>
    <x v="14"/>
    <x v="4"/>
    <x v="396"/>
    <x v="547"/>
    <x v="547"/>
    <x v="516"/>
    <x v="3"/>
    <x v="2"/>
    <x v="74"/>
  </r>
  <r>
    <x v="655"/>
    <x v="77"/>
    <x v="531"/>
    <x v="1"/>
    <x v="2"/>
    <x v="2"/>
    <x v="2"/>
    <x v="395"/>
    <x v="548"/>
    <x v="548"/>
    <x v="162"/>
    <x v="1"/>
    <x v="0"/>
    <x v="37"/>
  </r>
  <r>
    <x v="656"/>
    <x v="2"/>
    <x v="456"/>
    <x v="4"/>
    <x v="0"/>
    <x v="13"/>
    <x v="1"/>
    <x v="343"/>
    <x v="549"/>
    <x v="549"/>
    <x v="517"/>
    <x v="1"/>
    <x v="1"/>
    <x v="27"/>
  </r>
  <r>
    <x v="657"/>
    <x v="111"/>
    <x v="316"/>
    <x v="2"/>
    <x v="0"/>
    <x v="0"/>
    <x v="1"/>
    <x v="331"/>
    <x v="550"/>
    <x v="550"/>
    <x v="518"/>
    <x v="1"/>
    <x v="2"/>
    <x v="9"/>
  </r>
  <r>
    <x v="658"/>
    <x v="81"/>
    <x v="532"/>
    <x v="0"/>
    <x v="2"/>
    <x v="12"/>
    <x v="3"/>
    <x v="297"/>
    <x v="551"/>
    <x v="551"/>
    <x v="519"/>
    <x v="3"/>
    <x v="2"/>
    <x v="39"/>
  </r>
  <r>
    <x v="659"/>
    <x v="173"/>
    <x v="533"/>
    <x v="2"/>
    <x v="2"/>
    <x v="2"/>
    <x v="2"/>
    <x v="393"/>
    <x v="552"/>
    <x v="285"/>
    <x v="520"/>
    <x v="0"/>
    <x v="2"/>
    <x v="17"/>
  </r>
  <r>
    <x v="660"/>
    <x v="93"/>
    <x v="534"/>
    <x v="4"/>
    <x v="2"/>
    <x v="11"/>
    <x v="2"/>
    <x v="31"/>
    <x v="31"/>
    <x v="552"/>
    <x v="445"/>
    <x v="2"/>
    <x v="0"/>
    <x v="11"/>
  </r>
  <r>
    <x v="661"/>
    <x v="303"/>
    <x v="535"/>
    <x v="2"/>
    <x v="0"/>
    <x v="13"/>
    <x v="3"/>
    <x v="397"/>
    <x v="480"/>
    <x v="553"/>
    <x v="92"/>
    <x v="3"/>
    <x v="0"/>
    <x v="0"/>
  </r>
  <r>
    <x v="662"/>
    <x v="300"/>
    <x v="536"/>
    <x v="3"/>
    <x v="3"/>
    <x v="9"/>
    <x v="2"/>
    <x v="94"/>
    <x v="339"/>
    <x v="554"/>
    <x v="156"/>
    <x v="0"/>
    <x v="2"/>
    <x v="62"/>
  </r>
  <r>
    <x v="663"/>
    <x v="89"/>
    <x v="537"/>
    <x v="0"/>
    <x v="2"/>
    <x v="12"/>
    <x v="3"/>
    <x v="228"/>
    <x v="553"/>
    <x v="555"/>
    <x v="521"/>
    <x v="2"/>
    <x v="1"/>
    <x v="22"/>
  </r>
  <r>
    <x v="664"/>
    <x v="277"/>
    <x v="37"/>
    <x v="3"/>
    <x v="0"/>
    <x v="3"/>
    <x v="0"/>
    <x v="359"/>
    <x v="554"/>
    <x v="556"/>
    <x v="522"/>
    <x v="2"/>
    <x v="1"/>
    <x v="42"/>
  </r>
  <r>
    <x v="665"/>
    <x v="75"/>
    <x v="90"/>
    <x v="4"/>
    <x v="3"/>
    <x v="8"/>
    <x v="4"/>
    <x v="338"/>
    <x v="555"/>
    <x v="557"/>
    <x v="523"/>
    <x v="2"/>
    <x v="0"/>
    <x v="0"/>
  </r>
  <r>
    <x v="666"/>
    <x v="242"/>
    <x v="538"/>
    <x v="3"/>
    <x v="3"/>
    <x v="7"/>
    <x v="4"/>
    <x v="272"/>
    <x v="556"/>
    <x v="24"/>
    <x v="524"/>
    <x v="3"/>
    <x v="2"/>
    <x v="5"/>
  </r>
  <r>
    <x v="667"/>
    <x v="163"/>
    <x v="539"/>
    <x v="1"/>
    <x v="1"/>
    <x v="6"/>
    <x v="2"/>
    <x v="398"/>
    <x v="557"/>
    <x v="558"/>
    <x v="28"/>
    <x v="3"/>
    <x v="0"/>
    <x v="52"/>
  </r>
  <r>
    <x v="668"/>
    <x v="65"/>
    <x v="267"/>
    <x v="1"/>
    <x v="0"/>
    <x v="0"/>
    <x v="2"/>
    <x v="253"/>
    <x v="558"/>
    <x v="559"/>
    <x v="525"/>
    <x v="1"/>
    <x v="0"/>
    <x v="86"/>
  </r>
  <r>
    <x v="669"/>
    <x v="92"/>
    <x v="538"/>
    <x v="1"/>
    <x v="2"/>
    <x v="12"/>
    <x v="0"/>
    <x v="6"/>
    <x v="394"/>
    <x v="560"/>
    <x v="526"/>
    <x v="0"/>
    <x v="0"/>
    <x v="20"/>
  </r>
  <r>
    <x v="670"/>
    <x v="23"/>
    <x v="540"/>
    <x v="3"/>
    <x v="2"/>
    <x v="12"/>
    <x v="3"/>
    <x v="399"/>
    <x v="62"/>
    <x v="561"/>
    <x v="527"/>
    <x v="2"/>
    <x v="1"/>
    <x v="15"/>
  </r>
  <r>
    <x v="671"/>
    <x v="19"/>
    <x v="541"/>
    <x v="0"/>
    <x v="1"/>
    <x v="14"/>
    <x v="0"/>
    <x v="373"/>
    <x v="522"/>
    <x v="562"/>
    <x v="528"/>
    <x v="3"/>
    <x v="0"/>
    <x v="67"/>
  </r>
  <r>
    <x v="672"/>
    <x v="242"/>
    <x v="542"/>
    <x v="3"/>
    <x v="2"/>
    <x v="2"/>
    <x v="0"/>
    <x v="392"/>
    <x v="559"/>
    <x v="341"/>
    <x v="529"/>
    <x v="2"/>
    <x v="1"/>
    <x v="33"/>
  </r>
  <r>
    <x v="673"/>
    <x v="132"/>
    <x v="543"/>
    <x v="0"/>
    <x v="0"/>
    <x v="0"/>
    <x v="2"/>
    <x v="400"/>
    <x v="560"/>
    <x v="563"/>
    <x v="530"/>
    <x v="2"/>
    <x v="2"/>
    <x v="45"/>
  </r>
  <r>
    <x v="674"/>
    <x v="74"/>
    <x v="18"/>
    <x v="2"/>
    <x v="3"/>
    <x v="8"/>
    <x v="3"/>
    <x v="152"/>
    <x v="475"/>
    <x v="564"/>
    <x v="235"/>
    <x v="3"/>
    <x v="2"/>
    <x v="85"/>
  </r>
  <r>
    <x v="675"/>
    <x v="300"/>
    <x v="544"/>
    <x v="1"/>
    <x v="2"/>
    <x v="2"/>
    <x v="3"/>
    <x v="295"/>
    <x v="561"/>
    <x v="565"/>
    <x v="128"/>
    <x v="3"/>
    <x v="0"/>
    <x v="62"/>
  </r>
  <r>
    <x v="676"/>
    <x v="91"/>
    <x v="521"/>
    <x v="0"/>
    <x v="2"/>
    <x v="5"/>
    <x v="0"/>
    <x v="130"/>
    <x v="562"/>
    <x v="247"/>
    <x v="531"/>
    <x v="2"/>
    <x v="1"/>
    <x v="8"/>
  </r>
  <r>
    <x v="677"/>
    <x v="13"/>
    <x v="540"/>
    <x v="1"/>
    <x v="1"/>
    <x v="14"/>
    <x v="3"/>
    <x v="172"/>
    <x v="563"/>
    <x v="566"/>
    <x v="532"/>
    <x v="3"/>
    <x v="0"/>
    <x v="62"/>
  </r>
  <r>
    <x v="678"/>
    <x v="181"/>
    <x v="545"/>
    <x v="4"/>
    <x v="0"/>
    <x v="13"/>
    <x v="0"/>
    <x v="124"/>
    <x v="452"/>
    <x v="567"/>
    <x v="533"/>
    <x v="2"/>
    <x v="2"/>
    <x v="61"/>
  </r>
  <r>
    <x v="679"/>
    <x v="78"/>
    <x v="546"/>
    <x v="3"/>
    <x v="0"/>
    <x v="13"/>
    <x v="0"/>
    <x v="249"/>
    <x v="302"/>
    <x v="568"/>
    <x v="512"/>
    <x v="1"/>
    <x v="0"/>
    <x v="5"/>
  </r>
  <r>
    <x v="680"/>
    <x v="3"/>
    <x v="201"/>
    <x v="0"/>
    <x v="0"/>
    <x v="13"/>
    <x v="4"/>
    <x v="275"/>
    <x v="336"/>
    <x v="569"/>
    <x v="71"/>
    <x v="0"/>
    <x v="0"/>
    <x v="8"/>
  </r>
  <r>
    <x v="681"/>
    <x v="304"/>
    <x v="547"/>
    <x v="0"/>
    <x v="1"/>
    <x v="10"/>
    <x v="3"/>
    <x v="401"/>
    <x v="505"/>
    <x v="570"/>
    <x v="534"/>
    <x v="0"/>
    <x v="2"/>
    <x v="9"/>
  </r>
  <r>
    <x v="682"/>
    <x v="305"/>
    <x v="548"/>
    <x v="1"/>
    <x v="0"/>
    <x v="13"/>
    <x v="2"/>
    <x v="253"/>
    <x v="558"/>
    <x v="571"/>
    <x v="535"/>
    <x v="1"/>
    <x v="1"/>
    <x v="46"/>
  </r>
  <r>
    <x v="683"/>
    <x v="111"/>
    <x v="549"/>
    <x v="3"/>
    <x v="2"/>
    <x v="11"/>
    <x v="4"/>
    <x v="402"/>
    <x v="564"/>
    <x v="572"/>
    <x v="536"/>
    <x v="1"/>
    <x v="1"/>
    <x v="47"/>
  </r>
  <r>
    <x v="684"/>
    <x v="198"/>
    <x v="550"/>
    <x v="2"/>
    <x v="3"/>
    <x v="9"/>
    <x v="4"/>
    <x v="149"/>
    <x v="565"/>
    <x v="573"/>
    <x v="537"/>
    <x v="1"/>
    <x v="1"/>
    <x v="36"/>
  </r>
  <r>
    <x v="685"/>
    <x v="114"/>
    <x v="182"/>
    <x v="2"/>
    <x v="1"/>
    <x v="6"/>
    <x v="2"/>
    <x v="403"/>
    <x v="566"/>
    <x v="574"/>
    <x v="348"/>
    <x v="0"/>
    <x v="0"/>
    <x v="95"/>
  </r>
  <r>
    <x v="686"/>
    <x v="51"/>
    <x v="335"/>
    <x v="1"/>
    <x v="3"/>
    <x v="8"/>
    <x v="4"/>
    <x v="404"/>
    <x v="567"/>
    <x v="391"/>
    <x v="38"/>
    <x v="2"/>
    <x v="0"/>
    <x v="60"/>
  </r>
  <r>
    <x v="687"/>
    <x v="121"/>
    <x v="551"/>
    <x v="4"/>
    <x v="0"/>
    <x v="0"/>
    <x v="3"/>
    <x v="216"/>
    <x v="568"/>
    <x v="575"/>
    <x v="538"/>
    <x v="2"/>
    <x v="2"/>
    <x v="22"/>
  </r>
  <r>
    <x v="688"/>
    <x v="89"/>
    <x v="552"/>
    <x v="4"/>
    <x v="2"/>
    <x v="2"/>
    <x v="3"/>
    <x v="405"/>
    <x v="569"/>
    <x v="576"/>
    <x v="209"/>
    <x v="0"/>
    <x v="2"/>
    <x v="37"/>
  </r>
  <r>
    <x v="689"/>
    <x v="182"/>
    <x v="111"/>
    <x v="3"/>
    <x v="3"/>
    <x v="9"/>
    <x v="3"/>
    <x v="355"/>
    <x v="570"/>
    <x v="577"/>
    <x v="539"/>
    <x v="3"/>
    <x v="0"/>
    <x v="65"/>
  </r>
  <r>
    <x v="690"/>
    <x v="149"/>
    <x v="179"/>
    <x v="4"/>
    <x v="1"/>
    <x v="6"/>
    <x v="2"/>
    <x v="406"/>
    <x v="571"/>
    <x v="578"/>
    <x v="220"/>
    <x v="2"/>
    <x v="2"/>
    <x v="90"/>
  </r>
  <r>
    <x v="691"/>
    <x v="239"/>
    <x v="553"/>
    <x v="0"/>
    <x v="3"/>
    <x v="8"/>
    <x v="2"/>
    <x v="58"/>
    <x v="572"/>
    <x v="579"/>
    <x v="540"/>
    <x v="2"/>
    <x v="1"/>
    <x v="16"/>
  </r>
  <r>
    <x v="692"/>
    <x v="190"/>
    <x v="11"/>
    <x v="4"/>
    <x v="0"/>
    <x v="3"/>
    <x v="3"/>
    <x v="173"/>
    <x v="573"/>
    <x v="580"/>
    <x v="277"/>
    <x v="1"/>
    <x v="0"/>
    <x v="17"/>
  </r>
  <r>
    <x v="693"/>
    <x v="306"/>
    <x v="203"/>
    <x v="3"/>
    <x v="0"/>
    <x v="0"/>
    <x v="2"/>
    <x v="407"/>
    <x v="574"/>
    <x v="581"/>
    <x v="270"/>
    <x v="0"/>
    <x v="2"/>
    <x v="58"/>
  </r>
  <r>
    <x v="694"/>
    <x v="20"/>
    <x v="554"/>
    <x v="3"/>
    <x v="2"/>
    <x v="11"/>
    <x v="4"/>
    <x v="277"/>
    <x v="575"/>
    <x v="330"/>
    <x v="541"/>
    <x v="1"/>
    <x v="0"/>
    <x v="67"/>
  </r>
  <r>
    <x v="695"/>
    <x v="82"/>
    <x v="555"/>
    <x v="4"/>
    <x v="2"/>
    <x v="11"/>
    <x v="3"/>
    <x v="408"/>
    <x v="576"/>
    <x v="582"/>
    <x v="542"/>
    <x v="1"/>
    <x v="2"/>
    <x v="65"/>
  </r>
  <r>
    <x v="696"/>
    <x v="187"/>
    <x v="556"/>
    <x v="0"/>
    <x v="0"/>
    <x v="13"/>
    <x v="1"/>
    <x v="330"/>
    <x v="577"/>
    <x v="583"/>
    <x v="411"/>
    <x v="3"/>
    <x v="0"/>
    <x v="4"/>
  </r>
  <r>
    <x v="697"/>
    <x v="49"/>
    <x v="557"/>
    <x v="2"/>
    <x v="3"/>
    <x v="7"/>
    <x v="0"/>
    <x v="342"/>
    <x v="578"/>
    <x v="584"/>
    <x v="543"/>
    <x v="0"/>
    <x v="2"/>
    <x v="2"/>
  </r>
  <r>
    <x v="698"/>
    <x v="162"/>
    <x v="558"/>
    <x v="4"/>
    <x v="1"/>
    <x v="14"/>
    <x v="2"/>
    <x v="339"/>
    <x v="579"/>
    <x v="585"/>
    <x v="107"/>
    <x v="0"/>
    <x v="0"/>
    <x v="6"/>
  </r>
  <r>
    <x v="699"/>
    <x v="307"/>
    <x v="559"/>
    <x v="4"/>
    <x v="3"/>
    <x v="9"/>
    <x v="0"/>
    <x v="101"/>
    <x v="231"/>
    <x v="586"/>
    <x v="544"/>
    <x v="3"/>
    <x v="2"/>
    <x v="81"/>
  </r>
  <r>
    <x v="700"/>
    <x v="48"/>
    <x v="560"/>
    <x v="1"/>
    <x v="3"/>
    <x v="7"/>
    <x v="2"/>
    <x v="242"/>
    <x v="290"/>
    <x v="152"/>
    <x v="545"/>
    <x v="3"/>
    <x v="1"/>
    <x v="87"/>
  </r>
  <r>
    <x v="701"/>
    <x v="32"/>
    <x v="561"/>
    <x v="4"/>
    <x v="0"/>
    <x v="13"/>
    <x v="2"/>
    <x v="364"/>
    <x v="580"/>
    <x v="88"/>
    <x v="272"/>
    <x v="3"/>
    <x v="1"/>
    <x v="62"/>
  </r>
  <r>
    <x v="702"/>
    <x v="7"/>
    <x v="265"/>
    <x v="3"/>
    <x v="3"/>
    <x v="7"/>
    <x v="0"/>
    <x v="106"/>
    <x v="114"/>
    <x v="587"/>
    <x v="546"/>
    <x v="1"/>
    <x v="0"/>
    <x v="58"/>
  </r>
  <r>
    <x v="703"/>
    <x v="308"/>
    <x v="562"/>
    <x v="4"/>
    <x v="2"/>
    <x v="2"/>
    <x v="2"/>
    <x v="317"/>
    <x v="581"/>
    <x v="88"/>
    <x v="547"/>
    <x v="3"/>
    <x v="1"/>
    <x v="43"/>
  </r>
  <r>
    <x v="704"/>
    <x v="190"/>
    <x v="39"/>
    <x v="3"/>
    <x v="0"/>
    <x v="3"/>
    <x v="2"/>
    <x v="263"/>
    <x v="582"/>
    <x v="383"/>
    <x v="117"/>
    <x v="1"/>
    <x v="0"/>
    <x v="4"/>
  </r>
  <r>
    <x v="705"/>
    <x v="3"/>
    <x v="563"/>
    <x v="3"/>
    <x v="0"/>
    <x v="3"/>
    <x v="0"/>
    <x v="45"/>
    <x v="583"/>
    <x v="588"/>
    <x v="548"/>
    <x v="3"/>
    <x v="1"/>
    <x v="31"/>
  </r>
  <r>
    <x v="706"/>
    <x v="80"/>
    <x v="564"/>
    <x v="0"/>
    <x v="2"/>
    <x v="4"/>
    <x v="0"/>
    <x v="133"/>
    <x v="584"/>
    <x v="589"/>
    <x v="549"/>
    <x v="0"/>
    <x v="2"/>
    <x v="21"/>
  </r>
  <r>
    <x v="707"/>
    <x v="309"/>
    <x v="44"/>
    <x v="3"/>
    <x v="3"/>
    <x v="7"/>
    <x v="3"/>
    <x v="305"/>
    <x v="585"/>
    <x v="590"/>
    <x v="183"/>
    <x v="2"/>
    <x v="0"/>
    <x v="45"/>
  </r>
  <r>
    <x v="708"/>
    <x v="71"/>
    <x v="565"/>
    <x v="2"/>
    <x v="2"/>
    <x v="4"/>
    <x v="4"/>
    <x v="210"/>
    <x v="586"/>
    <x v="591"/>
    <x v="426"/>
    <x v="2"/>
    <x v="2"/>
    <x v="57"/>
  </r>
  <r>
    <x v="709"/>
    <x v="54"/>
    <x v="566"/>
    <x v="4"/>
    <x v="1"/>
    <x v="1"/>
    <x v="4"/>
    <x v="114"/>
    <x v="587"/>
    <x v="123"/>
    <x v="550"/>
    <x v="3"/>
    <x v="0"/>
    <x v="10"/>
  </r>
  <r>
    <x v="710"/>
    <x v="64"/>
    <x v="567"/>
    <x v="3"/>
    <x v="3"/>
    <x v="7"/>
    <x v="1"/>
    <x v="401"/>
    <x v="588"/>
    <x v="592"/>
    <x v="551"/>
    <x v="2"/>
    <x v="0"/>
    <x v="95"/>
  </r>
  <r>
    <x v="711"/>
    <x v="310"/>
    <x v="413"/>
    <x v="0"/>
    <x v="3"/>
    <x v="7"/>
    <x v="4"/>
    <x v="409"/>
    <x v="589"/>
    <x v="415"/>
    <x v="552"/>
    <x v="3"/>
    <x v="2"/>
    <x v="82"/>
  </r>
  <r>
    <x v="712"/>
    <x v="19"/>
    <x v="568"/>
    <x v="4"/>
    <x v="3"/>
    <x v="9"/>
    <x v="3"/>
    <x v="410"/>
    <x v="590"/>
    <x v="455"/>
    <x v="553"/>
    <x v="0"/>
    <x v="0"/>
    <x v="8"/>
  </r>
  <r>
    <x v="713"/>
    <x v="308"/>
    <x v="569"/>
    <x v="2"/>
    <x v="3"/>
    <x v="7"/>
    <x v="4"/>
    <x v="410"/>
    <x v="591"/>
    <x v="593"/>
    <x v="554"/>
    <x v="0"/>
    <x v="1"/>
    <x v="85"/>
  </r>
  <r>
    <x v="714"/>
    <x v="261"/>
    <x v="244"/>
    <x v="4"/>
    <x v="0"/>
    <x v="3"/>
    <x v="2"/>
    <x v="411"/>
    <x v="592"/>
    <x v="112"/>
    <x v="116"/>
    <x v="0"/>
    <x v="2"/>
    <x v="92"/>
  </r>
  <r>
    <x v="715"/>
    <x v="216"/>
    <x v="408"/>
    <x v="2"/>
    <x v="1"/>
    <x v="10"/>
    <x v="1"/>
    <x v="412"/>
    <x v="593"/>
    <x v="594"/>
    <x v="555"/>
    <x v="3"/>
    <x v="1"/>
    <x v="43"/>
  </r>
  <r>
    <x v="716"/>
    <x v="249"/>
    <x v="570"/>
    <x v="2"/>
    <x v="3"/>
    <x v="9"/>
    <x v="1"/>
    <x v="317"/>
    <x v="594"/>
    <x v="595"/>
    <x v="556"/>
    <x v="0"/>
    <x v="0"/>
    <x v="40"/>
  </r>
  <r>
    <x v="717"/>
    <x v="124"/>
    <x v="119"/>
    <x v="2"/>
    <x v="3"/>
    <x v="9"/>
    <x v="0"/>
    <x v="169"/>
    <x v="595"/>
    <x v="40"/>
    <x v="557"/>
    <x v="0"/>
    <x v="0"/>
    <x v="0"/>
  </r>
  <r>
    <x v="718"/>
    <x v="75"/>
    <x v="175"/>
    <x v="2"/>
    <x v="2"/>
    <x v="11"/>
    <x v="1"/>
    <x v="88"/>
    <x v="534"/>
    <x v="45"/>
    <x v="558"/>
    <x v="2"/>
    <x v="0"/>
    <x v="96"/>
  </r>
  <r>
    <x v="719"/>
    <x v="174"/>
    <x v="571"/>
    <x v="1"/>
    <x v="0"/>
    <x v="3"/>
    <x v="0"/>
    <x v="413"/>
    <x v="596"/>
    <x v="596"/>
    <x v="559"/>
    <x v="0"/>
    <x v="2"/>
    <x v="31"/>
  </r>
  <r>
    <x v="720"/>
    <x v="142"/>
    <x v="572"/>
    <x v="4"/>
    <x v="3"/>
    <x v="7"/>
    <x v="0"/>
    <x v="133"/>
    <x v="584"/>
    <x v="74"/>
    <x v="560"/>
    <x v="0"/>
    <x v="1"/>
    <x v="47"/>
  </r>
  <r>
    <x v="721"/>
    <x v="123"/>
    <x v="539"/>
    <x v="1"/>
    <x v="3"/>
    <x v="8"/>
    <x v="0"/>
    <x v="129"/>
    <x v="143"/>
    <x v="597"/>
    <x v="561"/>
    <x v="1"/>
    <x v="1"/>
    <x v="0"/>
  </r>
  <r>
    <x v="722"/>
    <x v="306"/>
    <x v="573"/>
    <x v="1"/>
    <x v="0"/>
    <x v="13"/>
    <x v="1"/>
    <x v="141"/>
    <x v="597"/>
    <x v="598"/>
    <x v="562"/>
    <x v="2"/>
    <x v="2"/>
    <x v="62"/>
  </r>
  <r>
    <x v="723"/>
    <x v="21"/>
    <x v="574"/>
    <x v="4"/>
    <x v="0"/>
    <x v="13"/>
    <x v="0"/>
    <x v="217"/>
    <x v="164"/>
    <x v="599"/>
    <x v="563"/>
    <x v="2"/>
    <x v="1"/>
    <x v="85"/>
  </r>
  <r>
    <x v="724"/>
    <x v="261"/>
    <x v="51"/>
    <x v="0"/>
    <x v="3"/>
    <x v="8"/>
    <x v="0"/>
    <x v="140"/>
    <x v="598"/>
    <x v="600"/>
    <x v="564"/>
    <x v="1"/>
    <x v="2"/>
    <x v="77"/>
  </r>
  <r>
    <x v="725"/>
    <x v="25"/>
    <x v="59"/>
    <x v="0"/>
    <x v="2"/>
    <x v="11"/>
    <x v="0"/>
    <x v="414"/>
    <x v="599"/>
    <x v="601"/>
    <x v="565"/>
    <x v="1"/>
    <x v="1"/>
    <x v="91"/>
  </r>
  <r>
    <x v="726"/>
    <x v="277"/>
    <x v="523"/>
    <x v="3"/>
    <x v="0"/>
    <x v="0"/>
    <x v="4"/>
    <x v="415"/>
    <x v="600"/>
    <x v="602"/>
    <x v="566"/>
    <x v="3"/>
    <x v="2"/>
    <x v="24"/>
  </r>
  <r>
    <x v="727"/>
    <x v="165"/>
    <x v="236"/>
    <x v="4"/>
    <x v="3"/>
    <x v="8"/>
    <x v="0"/>
    <x v="388"/>
    <x v="601"/>
    <x v="603"/>
    <x v="567"/>
    <x v="2"/>
    <x v="1"/>
    <x v="5"/>
  </r>
  <r>
    <x v="728"/>
    <x v="79"/>
    <x v="144"/>
    <x v="0"/>
    <x v="1"/>
    <x v="10"/>
    <x v="1"/>
    <x v="304"/>
    <x v="337"/>
    <x v="15"/>
    <x v="568"/>
    <x v="1"/>
    <x v="2"/>
    <x v="46"/>
  </r>
  <r>
    <x v="729"/>
    <x v="293"/>
    <x v="575"/>
    <x v="2"/>
    <x v="0"/>
    <x v="3"/>
    <x v="4"/>
    <x v="140"/>
    <x v="602"/>
    <x v="604"/>
    <x v="569"/>
    <x v="2"/>
    <x v="2"/>
    <x v="55"/>
  </r>
  <r>
    <x v="730"/>
    <x v="192"/>
    <x v="576"/>
    <x v="2"/>
    <x v="1"/>
    <x v="14"/>
    <x v="0"/>
    <x v="30"/>
    <x v="603"/>
    <x v="605"/>
    <x v="570"/>
    <x v="2"/>
    <x v="2"/>
    <x v="86"/>
  </r>
  <r>
    <x v="731"/>
    <x v="311"/>
    <x v="310"/>
    <x v="4"/>
    <x v="3"/>
    <x v="8"/>
    <x v="3"/>
    <x v="90"/>
    <x v="604"/>
    <x v="395"/>
    <x v="125"/>
    <x v="1"/>
    <x v="1"/>
    <x v="19"/>
  </r>
  <r>
    <x v="732"/>
    <x v="171"/>
    <x v="62"/>
    <x v="4"/>
    <x v="3"/>
    <x v="8"/>
    <x v="4"/>
    <x v="195"/>
    <x v="605"/>
    <x v="606"/>
    <x v="356"/>
    <x v="1"/>
    <x v="1"/>
    <x v="63"/>
  </r>
  <r>
    <x v="733"/>
    <x v="312"/>
    <x v="577"/>
    <x v="4"/>
    <x v="0"/>
    <x v="13"/>
    <x v="3"/>
    <x v="40"/>
    <x v="2"/>
    <x v="80"/>
    <x v="188"/>
    <x v="0"/>
    <x v="2"/>
    <x v="12"/>
  </r>
  <r>
    <x v="734"/>
    <x v="14"/>
    <x v="578"/>
    <x v="1"/>
    <x v="1"/>
    <x v="6"/>
    <x v="4"/>
    <x v="371"/>
    <x v="496"/>
    <x v="607"/>
    <x v="415"/>
    <x v="0"/>
    <x v="2"/>
    <x v="62"/>
  </r>
  <r>
    <x v="735"/>
    <x v="300"/>
    <x v="176"/>
    <x v="1"/>
    <x v="1"/>
    <x v="6"/>
    <x v="0"/>
    <x v="416"/>
    <x v="606"/>
    <x v="608"/>
    <x v="571"/>
    <x v="3"/>
    <x v="2"/>
    <x v="33"/>
  </r>
  <r>
    <x v="736"/>
    <x v="249"/>
    <x v="579"/>
    <x v="1"/>
    <x v="2"/>
    <x v="4"/>
    <x v="0"/>
    <x v="116"/>
    <x v="607"/>
    <x v="206"/>
    <x v="54"/>
    <x v="1"/>
    <x v="2"/>
    <x v="84"/>
  </r>
  <r>
    <x v="737"/>
    <x v="143"/>
    <x v="580"/>
    <x v="4"/>
    <x v="3"/>
    <x v="7"/>
    <x v="0"/>
    <x v="303"/>
    <x v="608"/>
    <x v="609"/>
    <x v="572"/>
    <x v="2"/>
    <x v="1"/>
    <x v="11"/>
  </r>
  <r>
    <x v="738"/>
    <x v="290"/>
    <x v="537"/>
    <x v="0"/>
    <x v="2"/>
    <x v="11"/>
    <x v="4"/>
    <x v="412"/>
    <x v="609"/>
    <x v="610"/>
    <x v="573"/>
    <x v="1"/>
    <x v="2"/>
    <x v="69"/>
  </r>
  <r>
    <x v="739"/>
    <x v="114"/>
    <x v="581"/>
    <x v="3"/>
    <x v="2"/>
    <x v="5"/>
    <x v="3"/>
    <x v="231"/>
    <x v="610"/>
    <x v="611"/>
    <x v="574"/>
    <x v="3"/>
    <x v="1"/>
    <x v="5"/>
  </r>
  <r>
    <x v="740"/>
    <x v="84"/>
    <x v="48"/>
    <x v="4"/>
    <x v="3"/>
    <x v="7"/>
    <x v="4"/>
    <x v="24"/>
    <x v="24"/>
    <x v="612"/>
    <x v="50"/>
    <x v="1"/>
    <x v="0"/>
    <x v="85"/>
  </r>
  <r>
    <x v="741"/>
    <x v="186"/>
    <x v="582"/>
    <x v="1"/>
    <x v="0"/>
    <x v="3"/>
    <x v="1"/>
    <x v="130"/>
    <x v="144"/>
    <x v="576"/>
    <x v="575"/>
    <x v="0"/>
    <x v="2"/>
    <x v="46"/>
  </r>
  <r>
    <x v="742"/>
    <x v="79"/>
    <x v="583"/>
    <x v="1"/>
    <x v="0"/>
    <x v="3"/>
    <x v="0"/>
    <x v="81"/>
    <x v="611"/>
    <x v="613"/>
    <x v="266"/>
    <x v="2"/>
    <x v="0"/>
    <x v="71"/>
  </r>
  <r>
    <x v="743"/>
    <x v="19"/>
    <x v="584"/>
    <x v="0"/>
    <x v="3"/>
    <x v="7"/>
    <x v="4"/>
    <x v="417"/>
    <x v="612"/>
    <x v="15"/>
    <x v="410"/>
    <x v="0"/>
    <x v="0"/>
    <x v="96"/>
  </r>
  <r>
    <x v="744"/>
    <x v="306"/>
    <x v="17"/>
    <x v="2"/>
    <x v="2"/>
    <x v="5"/>
    <x v="0"/>
    <x v="28"/>
    <x v="298"/>
    <x v="111"/>
    <x v="576"/>
    <x v="3"/>
    <x v="2"/>
    <x v="48"/>
  </r>
  <r>
    <x v="745"/>
    <x v="211"/>
    <x v="585"/>
    <x v="3"/>
    <x v="2"/>
    <x v="5"/>
    <x v="0"/>
    <x v="324"/>
    <x v="613"/>
    <x v="614"/>
    <x v="577"/>
    <x v="1"/>
    <x v="2"/>
    <x v="69"/>
  </r>
  <r>
    <x v="746"/>
    <x v="313"/>
    <x v="586"/>
    <x v="2"/>
    <x v="1"/>
    <x v="6"/>
    <x v="3"/>
    <x v="418"/>
    <x v="614"/>
    <x v="411"/>
    <x v="575"/>
    <x v="2"/>
    <x v="2"/>
    <x v="78"/>
  </r>
  <r>
    <x v="747"/>
    <x v="235"/>
    <x v="587"/>
    <x v="2"/>
    <x v="1"/>
    <x v="14"/>
    <x v="2"/>
    <x v="178"/>
    <x v="615"/>
    <x v="486"/>
    <x v="578"/>
    <x v="1"/>
    <x v="2"/>
    <x v="58"/>
  </r>
  <r>
    <x v="748"/>
    <x v="278"/>
    <x v="222"/>
    <x v="1"/>
    <x v="1"/>
    <x v="10"/>
    <x v="4"/>
    <x v="115"/>
    <x v="126"/>
    <x v="615"/>
    <x v="579"/>
    <x v="1"/>
    <x v="2"/>
    <x v="91"/>
  </r>
  <r>
    <x v="749"/>
    <x v="242"/>
    <x v="557"/>
    <x v="1"/>
    <x v="2"/>
    <x v="5"/>
    <x v="0"/>
    <x v="39"/>
    <x v="616"/>
    <x v="616"/>
    <x v="195"/>
    <x v="3"/>
    <x v="0"/>
    <x v="91"/>
  </r>
  <r>
    <x v="750"/>
    <x v="302"/>
    <x v="588"/>
    <x v="1"/>
    <x v="2"/>
    <x v="2"/>
    <x v="0"/>
    <x v="339"/>
    <x v="617"/>
    <x v="617"/>
    <x v="580"/>
    <x v="0"/>
    <x v="0"/>
    <x v="94"/>
  </r>
  <r>
    <x v="751"/>
    <x v="141"/>
    <x v="519"/>
    <x v="1"/>
    <x v="1"/>
    <x v="10"/>
    <x v="4"/>
    <x v="419"/>
    <x v="618"/>
    <x v="618"/>
    <x v="581"/>
    <x v="1"/>
    <x v="0"/>
    <x v="35"/>
  </r>
  <r>
    <x v="752"/>
    <x v="314"/>
    <x v="589"/>
    <x v="1"/>
    <x v="1"/>
    <x v="6"/>
    <x v="4"/>
    <x v="94"/>
    <x v="103"/>
    <x v="118"/>
    <x v="582"/>
    <x v="0"/>
    <x v="2"/>
    <x v="88"/>
  </r>
  <r>
    <x v="753"/>
    <x v="309"/>
    <x v="207"/>
    <x v="2"/>
    <x v="3"/>
    <x v="7"/>
    <x v="0"/>
    <x v="289"/>
    <x v="360"/>
    <x v="619"/>
    <x v="583"/>
    <x v="0"/>
    <x v="0"/>
    <x v="45"/>
  </r>
  <r>
    <x v="754"/>
    <x v="239"/>
    <x v="531"/>
    <x v="2"/>
    <x v="1"/>
    <x v="6"/>
    <x v="1"/>
    <x v="194"/>
    <x v="221"/>
    <x v="216"/>
    <x v="584"/>
    <x v="3"/>
    <x v="1"/>
    <x v="67"/>
  </r>
  <r>
    <x v="755"/>
    <x v="34"/>
    <x v="44"/>
    <x v="1"/>
    <x v="0"/>
    <x v="0"/>
    <x v="0"/>
    <x v="188"/>
    <x v="214"/>
    <x v="620"/>
    <x v="585"/>
    <x v="3"/>
    <x v="1"/>
    <x v="35"/>
  </r>
  <r>
    <x v="756"/>
    <x v="293"/>
    <x v="59"/>
    <x v="3"/>
    <x v="2"/>
    <x v="12"/>
    <x v="1"/>
    <x v="420"/>
    <x v="619"/>
    <x v="621"/>
    <x v="586"/>
    <x v="0"/>
    <x v="0"/>
    <x v="3"/>
  </r>
  <r>
    <x v="757"/>
    <x v="26"/>
    <x v="590"/>
    <x v="0"/>
    <x v="1"/>
    <x v="10"/>
    <x v="1"/>
    <x v="127"/>
    <x v="42"/>
    <x v="622"/>
    <x v="587"/>
    <x v="1"/>
    <x v="0"/>
    <x v="71"/>
  </r>
  <r>
    <x v="758"/>
    <x v="268"/>
    <x v="188"/>
    <x v="4"/>
    <x v="3"/>
    <x v="9"/>
    <x v="1"/>
    <x v="366"/>
    <x v="620"/>
    <x v="623"/>
    <x v="588"/>
    <x v="2"/>
    <x v="2"/>
    <x v="41"/>
  </r>
  <r>
    <x v="759"/>
    <x v="32"/>
    <x v="591"/>
    <x v="0"/>
    <x v="3"/>
    <x v="9"/>
    <x v="2"/>
    <x v="233"/>
    <x v="621"/>
    <x v="624"/>
    <x v="247"/>
    <x v="2"/>
    <x v="1"/>
    <x v="44"/>
  </r>
  <r>
    <x v="760"/>
    <x v="219"/>
    <x v="75"/>
    <x v="4"/>
    <x v="1"/>
    <x v="6"/>
    <x v="3"/>
    <x v="332"/>
    <x v="622"/>
    <x v="625"/>
    <x v="22"/>
    <x v="0"/>
    <x v="0"/>
    <x v="78"/>
  </r>
  <r>
    <x v="761"/>
    <x v="49"/>
    <x v="592"/>
    <x v="1"/>
    <x v="1"/>
    <x v="1"/>
    <x v="0"/>
    <x v="421"/>
    <x v="623"/>
    <x v="626"/>
    <x v="531"/>
    <x v="0"/>
    <x v="1"/>
    <x v="30"/>
  </r>
  <r>
    <x v="762"/>
    <x v="209"/>
    <x v="593"/>
    <x v="0"/>
    <x v="2"/>
    <x v="12"/>
    <x v="1"/>
    <x v="199"/>
    <x v="451"/>
    <x v="627"/>
    <x v="441"/>
    <x v="3"/>
    <x v="2"/>
    <x v="70"/>
  </r>
  <r>
    <x v="763"/>
    <x v="315"/>
    <x v="322"/>
    <x v="1"/>
    <x v="1"/>
    <x v="6"/>
    <x v="1"/>
    <x v="31"/>
    <x v="624"/>
    <x v="628"/>
    <x v="475"/>
    <x v="0"/>
    <x v="0"/>
    <x v="92"/>
  </r>
  <r>
    <x v="764"/>
    <x v="173"/>
    <x v="594"/>
    <x v="3"/>
    <x v="3"/>
    <x v="7"/>
    <x v="1"/>
    <x v="422"/>
    <x v="625"/>
    <x v="629"/>
    <x v="589"/>
    <x v="2"/>
    <x v="2"/>
    <x v="54"/>
  </r>
  <r>
    <x v="765"/>
    <x v="79"/>
    <x v="591"/>
    <x v="1"/>
    <x v="3"/>
    <x v="7"/>
    <x v="3"/>
    <x v="105"/>
    <x v="113"/>
    <x v="630"/>
    <x v="21"/>
    <x v="3"/>
    <x v="1"/>
    <x v="12"/>
  </r>
  <r>
    <x v="766"/>
    <x v="75"/>
    <x v="595"/>
    <x v="1"/>
    <x v="0"/>
    <x v="0"/>
    <x v="4"/>
    <x v="423"/>
    <x v="626"/>
    <x v="631"/>
    <x v="590"/>
    <x v="0"/>
    <x v="1"/>
    <x v="10"/>
  </r>
  <r>
    <x v="767"/>
    <x v="316"/>
    <x v="430"/>
    <x v="4"/>
    <x v="0"/>
    <x v="13"/>
    <x v="1"/>
    <x v="221"/>
    <x v="263"/>
    <x v="632"/>
    <x v="591"/>
    <x v="2"/>
    <x v="2"/>
    <x v="55"/>
  </r>
  <r>
    <x v="768"/>
    <x v="257"/>
    <x v="596"/>
    <x v="3"/>
    <x v="1"/>
    <x v="6"/>
    <x v="4"/>
    <x v="424"/>
    <x v="627"/>
    <x v="633"/>
    <x v="592"/>
    <x v="3"/>
    <x v="1"/>
    <x v="7"/>
  </r>
  <r>
    <x v="769"/>
    <x v="20"/>
    <x v="210"/>
    <x v="0"/>
    <x v="3"/>
    <x v="9"/>
    <x v="2"/>
    <x v="425"/>
    <x v="628"/>
    <x v="634"/>
    <x v="530"/>
    <x v="0"/>
    <x v="0"/>
    <x v="24"/>
  </r>
  <r>
    <x v="770"/>
    <x v="155"/>
    <x v="597"/>
    <x v="0"/>
    <x v="0"/>
    <x v="13"/>
    <x v="1"/>
    <x v="426"/>
    <x v="170"/>
    <x v="635"/>
    <x v="271"/>
    <x v="0"/>
    <x v="0"/>
    <x v="6"/>
  </r>
  <r>
    <x v="771"/>
    <x v="233"/>
    <x v="423"/>
    <x v="1"/>
    <x v="2"/>
    <x v="5"/>
    <x v="0"/>
    <x v="427"/>
    <x v="629"/>
    <x v="636"/>
    <x v="444"/>
    <x v="0"/>
    <x v="0"/>
    <x v="59"/>
  </r>
  <r>
    <x v="772"/>
    <x v="50"/>
    <x v="523"/>
    <x v="1"/>
    <x v="2"/>
    <x v="2"/>
    <x v="2"/>
    <x v="35"/>
    <x v="299"/>
    <x v="637"/>
    <x v="593"/>
    <x v="0"/>
    <x v="0"/>
    <x v="85"/>
  </r>
  <r>
    <x v="773"/>
    <x v="305"/>
    <x v="32"/>
    <x v="4"/>
    <x v="2"/>
    <x v="2"/>
    <x v="0"/>
    <x v="67"/>
    <x v="630"/>
    <x v="638"/>
    <x v="594"/>
    <x v="3"/>
    <x v="2"/>
    <x v="57"/>
  </r>
  <r>
    <x v="774"/>
    <x v="95"/>
    <x v="431"/>
    <x v="4"/>
    <x v="0"/>
    <x v="13"/>
    <x v="3"/>
    <x v="266"/>
    <x v="597"/>
    <x v="639"/>
    <x v="595"/>
    <x v="3"/>
    <x v="1"/>
    <x v="53"/>
  </r>
  <r>
    <x v="775"/>
    <x v="292"/>
    <x v="459"/>
    <x v="4"/>
    <x v="3"/>
    <x v="8"/>
    <x v="1"/>
    <x v="428"/>
    <x v="631"/>
    <x v="397"/>
    <x v="60"/>
    <x v="0"/>
    <x v="2"/>
    <x v="30"/>
  </r>
  <r>
    <x v="776"/>
    <x v="281"/>
    <x v="598"/>
    <x v="2"/>
    <x v="1"/>
    <x v="14"/>
    <x v="1"/>
    <x v="218"/>
    <x v="463"/>
    <x v="269"/>
    <x v="308"/>
    <x v="3"/>
    <x v="2"/>
    <x v="65"/>
  </r>
  <r>
    <x v="777"/>
    <x v="279"/>
    <x v="599"/>
    <x v="4"/>
    <x v="0"/>
    <x v="3"/>
    <x v="2"/>
    <x v="207"/>
    <x v="245"/>
    <x v="327"/>
    <x v="519"/>
    <x v="0"/>
    <x v="2"/>
    <x v="80"/>
  </r>
  <r>
    <x v="778"/>
    <x v="294"/>
    <x v="531"/>
    <x v="2"/>
    <x v="2"/>
    <x v="4"/>
    <x v="1"/>
    <x v="429"/>
    <x v="632"/>
    <x v="640"/>
    <x v="466"/>
    <x v="2"/>
    <x v="1"/>
    <x v="87"/>
  </r>
  <r>
    <x v="779"/>
    <x v="149"/>
    <x v="38"/>
    <x v="2"/>
    <x v="0"/>
    <x v="13"/>
    <x v="3"/>
    <x v="257"/>
    <x v="380"/>
    <x v="81"/>
    <x v="305"/>
    <x v="2"/>
    <x v="0"/>
    <x v="89"/>
  </r>
  <r>
    <x v="780"/>
    <x v="118"/>
    <x v="600"/>
    <x v="0"/>
    <x v="2"/>
    <x v="5"/>
    <x v="1"/>
    <x v="96"/>
    <x v="633"/>
    <x v="641"/>
    <x v="596"/>
    <x v="2"/>
    <x v="1"/>
    <x v="23"/>
  </r>
  <r>
    <x v="781"/>
    <x v="317"/>
    <x v="392"/>
    <x v="3"/>
    <x v="2"/>
    <x v="12"/>
    <x v="1"/>
    <x v="161"/>
    <x v="634"/>
    <x v="139"/>
    <x v="223"/>
    <x v="0"/>
    <x v="2"/>
    <x v="74"/>
  </r>
  <r>
    <x v="782"/>
    <x v="218"/>
    <x v="601"/>
    <x v="2"/>
    <x v="0"/>
    <x v="13"/>
    <x v="1"/>
    <x v="68"/>
    <x v="425"/>
    <x v="642"/>
    <x v="563"/>
    <x v="1"/>
    <x v="2"/>
    <x v="52"/>
  </r>
  <r>
    <x v="783"/>
    <x v="112"/>
    <x v="602"/>
    <x v="2"/>
    <x v="3"/>
    <x v="9"/>
    <x v="2"/>
    <x v="430"/>
    <x v="635"/>
    <x v="526"/>
    <x v="597"/>
    <x v="0"/>
    <x v="0"/>
    <x v="20"/>
  </r>
  <r>
    <x v="784"/>
    <x v="318"/>
    <x v="603"/>
    <x v="1"/>
    <x v="0"/>
    <x v="13"/>
    <x v="0"/>
    <x v="288"/>
    <x v="636"/>
    <x v="534"/>
    <x v="598"/>
    <x v="1"/>
    <x v="0"/>
    <x v="84"/>
  </r>
  <r>
    <x v="785"/>
    <x v="233"/>
    <x v="274"/>
    <x v="4"/>
    <x v="1"/>
    <x v="1"/>
    <x v="4"/>
    <x v="431"/>
    <x v="637"/>
    <x v="643"/>
    <x v="599"/>
    <x v="3"/>
    <x v="0"/>
    <x v="73"/>
  </r>
  <r>
    <x v="786"/>
    <x v="118"/>
    <x v="604"/>
    <x v="1"/>
    <x v="0"/>
    <x v="0"/>
    <x v="2"/>
    <x v="417"/>
    <x v="638"/>
    <x v="644"/>
    <x v="600"/>
    <x v="1"/>
    <x v="2"/>
    <x v="52"/>
  </r>
  <r>
    <x v="787"/>
    <x v="242"/>
    <x v="440"/>
    <x v="0"/>
    <x v="0"/>
    <x v="13"/>
    <x v="3"/>
    <x v="342"/>
    <x v="341"/>
    <x v="645"/>
    <x v="172"/>
    <x v="3"/>
    <x v="0"/>
    <x v="92"/>
  </r>
  <r>
    <x v="788"/>
    <x v="84"/>
    <x v="605"/>
    <x v="4"/>
    <x v="2"/>
    <x v="12"/>
    <x v="2"/>
    <x v="294"/>
    <x v="639"/>
    <x v="646"/>
    <x v="601"/>
    <x v="3"/>
    <x v="0"/>
    <x v="71"/>
  </r>
  <r>
    <x v="789"/>
    <x v="112"/>
    <x v="606"/>
    <x v="4"/>
    <x v="3"/>
    <x v="7"/>
    <x v="2"/>
    <x v="379"/>
    <x v="640"/>
    <x v="647"/>
    <x v="602"/>
    <x v="2"/>
    <x v="0"/>
    <x v="11"/>
  </r>
  <r>
    <x v="790"/>
    <x v="64"/>
    <x v="373"/>
    <x v="0"/>
    <x v="0"/>
    <x v="3"/>
    <x v="1"/>
    <x v="122"/>
    <x v="137"/>
    <x v="648"/>
    <x v="603"/>
    <x v="3"/>
    <x v="2"/>
    <x v="58"/>
  </r>
  <r>
    <x v="791"/>
    <x v="187"/>
    <x v="53"/>
    <x v="1"/>
    <x v="1"/>
    <x v="6"/>
    <x v="1"/>
    <x v="274"/>
    <x v="641"/>
    <x v="649"/>
    <x v="604"/>
    <x v="3"/>
    <x v="0"/>
    <x v="95"/>
  </r>
  <r>
    <x v="792"/>
    <x v="266"/>
    <x v="236"/>
    <x v="1"/>
    <x v="1"/>
    <x v="14"/>
    <x v="2"/>
    <x v="254"/>
    <x v="642"/>
    <x v="650"/>
    <x v="105"/>
    <x v="0"/>
    <x v="2"/>
    <x v="24"/>
  </r>
  <r>
    <x v="793"/>
    <x v="101"/>
    <x v="280"/>
    <x v="3"/>
    <x v="1"/>
    <x v="6"/>
    <x v="3"/>
    <x v="432"/>
    <x v="446"/>
    <x v="535"/>
    <x v="605"/>
    <x v="3"/>
    <x v="2"/>
    <x v="5"/>
  </r>
  <r>
    <x v="794"/>
    <x v="215"/>
    <x v="473"/>
    <x v="4"/>
    <x v="2"/>
    <x v="4"/>
    <x v="3"/>
    <x v="375"/>
    <x v="643"/>
    <x v="651"/>
    <x v="383"/>
    <x v="2"/>
    <x v="2"/>
    <x v="70"/>
  </r>
  <r>
    <x v="795"/>
    <x v="319"/>
    <x v="607"/>
    <x v="3"/>
    <x v="3"/>
    <x v="9"/>
    <x v="0"/>
    <x v="312"/>
    <x v="435"/>
    <x v="274"/>
    <x v="606"/>
    <x v="1"/>
    <x v="0"/>
    <x v="94"/>
  </r>
  <r>
    <x v="796"/>
    <x v="54"/>
    <x v="608"/>
    <x v="0"/>
    <x v="0"/>
    <x v="13"/>
    <x v="1"/>
    <x v="130"/>
    <x v="144"/>
    <x v="440"/>
    <x v="607"/>
    <x v="0"/>
    <x v="2"/>
    <x v="18"/>
  </r>
  <r>
    <x v="797"/>
    <x v="259"/>
    <x v="609"/>
    <x v="3"/>
    <x v="3"/>
    <x v="8"/>
    <x v="3"/>
    <x v="345"/>
    <x v="468"/>
    <x v="652"/>
    <x v="115"/>
    <x v="2"/>
    <x v="1"/>
    <x v="71"/>
  </r>
  <r>
    <x v="798"/>
    <x v="119"/>
    <x v="243"/>
    <x v="2"/>
    <x v="0"/>
    <x v="3"/>
    <x v="0"/>
    <x v="239"/>
    <x v="644"/>
    <x v="653"/>
    <x v="608"/>
    <x v="3"/>
    <x v="0"/>
    <x v="45"/>
  </r>
  <r>
    <x v="799"/>
    <x v="14"/>
    <x v="610"/>
    <x v="1"/>
    <x v="1"/>
    <x v="14"/>
    <x v="4"/>
    <x v="355"/>
    <x v="645"/>
    <x v="357"/>
    <x v="441"/>
    <x v="2"/>
    <x v="1"/>
    <x v="1"/>
  </r>
  <r>
    <x v="800"/>
    <x v="268"/>
    <x v="611"/>
    <x v="1"/>
    <x v="3"/>
    <x v="7"/>
    <x v="0"/>
    <x v="433"/>
    <x v="646"/>
    <x v="654"/>
    <x v="243"/>
    <x v="0"/>
    <x v="2"/>
    <x v="91"/>
  </r>
  <r>
    <x v="801"/>
    <x v="138"/>
    <x v="570"/>
    <x v="0"/>
    <x v="1"/>
    <x v="10"/>
    <x v="3"/>
    <x v="221"/>
    <x v="48"/>
    <x v="9"/>
    <x v="498"/>
    <x v="0"/>
    <x v="0"/>
    <x v="23"/>
  </r>
  <r>
    <x v="802"/>
    <x v="280"/>
    <x v="612"/>
    <x v="0"/>
    <x v="2"/>
    <x v="4"/>
    <x v="2"/>
    <x v="33"/>
    <x v="647"/>
    <x v="29"/>
    <x v="609"/>
    <x v="0"/>
    <x v="1"/>
    <x v="43"/>
  </r>
  <r>
    <x v="803"/>
    <x v="156"/>
    <x v="613"/>
    <x v="4"/>
    <x v="3"/>
    <x v="9"/>
    <x v="1"/>
    <x v="1"/>
    <x v="1"/>
    <x v="655"/>
    <x v="610"/>
    <x v="2"/>
    <x v="2"/>
    <x v="60"/>
  </r>
  <r>
    <x v="804"/>
    <x v="224"/>
    <x v="614"/>
    <x v="4"/>
    <x v="3"/>
    <x v="8"/>
    <x v="2"/>
    <x v="380"/>
    <x v="648"/>
    <x v="656"/>
    <x v="271"/>
    <x v="1"/>
    <x v="1"/>
    <x v="89"/>
  </r>
  <r>
    <x v="805"/>
    <x v="281"/>
    <x v="615"/>
    <x v="3"/>
    <x v="0"/>
    <x v="13"/>
    <x v="3"/>
    <x v="434"/>
    <x v="80"/>
    <x v="295"/>
    <x v="611"/>
    <x v="3"/>
    <x v="2"/>
    <x v="48"/>
  </r>
  <r>
    <x v="806"/>
    <x v="40"/>
    <x v="616"/>
    <x v="4"/>
    <x v="3"/>
    <x v="9"/>
    <x v="2"/>
    <x v="435"/>
    <x v="649"/>
    <x v="657"/>
    <x v="612"/>
    <x v="0"/>
    <x v="0"/>
    <x v="69"/>
  </r>
  <r>
    <x v="807"/>
    <x v="34"/>
    <x v="201"/>
    <x v="3"/>
    <x v="0"/>
    <x v="3"/>
    <x v="0"/>
    <x v="217"/>
    <x v="164"/>
    <x v="40"/>
    <x v="147"/>
    <x v="3"/>
    <x v="1"/>
    <x v="59"/>
  </r>
  <r>
    <x v="808"/>
    <x v="210"/>
    <x v="308"/>
    <x v="3"/>
    <x v="0"/>
    <x v="3"/>
    <x v="3"/>
    <x v="167"/>
    <x v="190"/>
    <x v="658"/>
    <x v="613"/>
    <x v="2"/>
    <x v="1"/>
    <x v="20"/>
  </r>
  <r>
    <x v="809"/>
    <x v="57"/>
    <x v="617"/>
    <x v="4"/>
    <x v="3"/>
    <x v="8"/>
    <x v="2"/>
    <x v="183"/>
    <x v="650"/>
    <x v="659"/>
    <x v="614"/>
    <x v="2"/>
    <x v="2"/>
    <x v="97"/>
  </r>
  <r>
    <x v="810"/>
    <x v="306"/>
    <x v="257"/>
    <x v="0"/>
    <x v="2"/>
    <x v="4"/>
    <x v="1"/>
    <x v="434"/>
    <x v="618"/>
    <x v="660"/>
    <x v="615"/>
    <x v="2"/>
    <x v="2"/>
    <x v="47"/>
  </r>
  <r>
    <x v="811"/>
    <x v="190"/>
    <x v="108"/>
    <x v="4"/>
    <x v="1"/>
    <x v="1"/>
    <x v="4"/>
    <x v="180"/>
    <x v="392"/>
    <x v="641"/>
    <x v="438"/>
    <x v="2"/>
    <x v="2"/>
    <x v="18"/>
  </r>
  <r>
    <x v="812"/>
    <x v="24"/>
    <x v="618"/>
    <x v="2"/>
    <x v="1"/>
    <x v="1"/>
    <x v="2"/>
    <x v="436"/>
    <x v="651"/>
    <x v="661"/>
    <x v="616"/>
    <x v="0"/>
    <x v="2"/>
    <x v="60"/>
  </r>
  <r>
    <x v="813"/>
    <x v="320"/>
    <x v="619"/>
    <x v="3"/>
    <x v="3"/>
    <x v="8"/>
    <x v="0"/>
    <x v="437"/>
    <x v="652"/>
    <x v="662"/>
    <x v="617"/>
    <x v="0"/>
    <x v="1"/>
    <x v="1"/>
  </r>
  <r>
    <x v="814"/>
    <x v="78"/>
    <x v="318"/>
    <x v="0"/>
    <x v="1"/>
    <x v="1"/>
    <x v="4"/>
    <x v="438"/>
    <x v="653"/>
    <x v="663"/>
    <x v="566"/>
    <x v="0"/>
    <x v="0"/>
    <x v="94"/>
  </r>
  <r>
    <x v="815"/>
    <x v="69"/>
    <x v="430"/>
    <x v="3"/>
    <x v="1"/>
    <x v="1"/>
    <x v="3"/>
    <x v="221"/>
    <x v="48"/>
    <x v="664"/>
    <x v="618"/>
    <x v="1"/>
    <x v="0"/>
    <x v="32"/>
  </r>
  <r>
    <x v="816"/>
    <x v="293"/>
    <x v="160"/>
    <x v="1"/>
    <x v="1"/>
    <x v="6"/>
    <x v="1"/>
    <x v="53"/>
    <x v="56"/>
    <x v="665"/>
    <x v="619"/>
    <x v="3"/>
    <x v="1"/>
    <x v="96"/>
  </r>
  <r>
    <x v="817"/>
    <x v="231"/>
    <x v="620"/>
    <x v="1"/>
    <x v="1"/>
    <x v="6"/>
    <x v="2"/>
    <x v="439"/>
    <x v="654"/>
    <x v="406"/>
    <x v="9"/>
    <x v="0"/>
    <x v="2"/>
    <x v="8"/>
  </r>
  <r>
    <x v="818"/>
    <x v="141"/>
    <x v="507"/>
    <x v="3"/>
    <x v="0"/>
    <x v="3"/>
    <x v="3"/>
    <x v="214"/>
    <x v="137"/>
    <x v="666"/>
    <x v="237"/>
    <x v="1"/>
    <x v="1"/>
    <x v="47"/>
  </r>
  <r>
    <x v="819"/>
    <x v="254"/>
    <x v="621"/>
    <x v="0"/>
    <x v="0"/>
    <x v="0"/>
    <x v="4"/>
    <x v="430"/>
    <x v="655"/>
    <x v="639"/>
    <x v="366"/>
    <x v="0"/>
    <x v="0"/>
    <x v="5"/>
  </r>
  <r>
    <x v="820"/>
    <x v="140"/>
    <x v="622"/>
    <x v="4"/>
    <x v="1"/>
    <x v="6"/>
    <x v="1"/>
    <x v="294"/>
    <x v="656"/>
    <x v="667"/>
    <x v="574"/>
    <x v="0"/>
    <x v="1"/>
    <x v="13"/>
  </r>
  <r>
    <x v="821"/>
    <x v="269"/>
    <x v="620"/>
    <x v="2"/>
    <x v="2"/>
    <x v="4"/>
    <x v="4"/>
    <x v="318"/>
    <x v="657"/>
    <x v="668"/>
    <x v="620"/>
    <x v="2"/>
    <x v="1"/>
    <x v="81"/>
  </r>
  <r>
    <x v="822"/>
    <x v="143"/>
    <x v="623"/>
    <x v="0"/>
    <x v="1"/>
    <x v="1"/>
    <x v="2"/>
    <x v="129"/>
    <x v="658"/>
    <x v="669"/>
    <x v="621"/>
    <x v="3"/>
    <x v="2"/>
    <x v="96"/>
  </r>
  <r>
    <x v="823"/>
    <x v="321"/>
    <x v="624"/>
    <x v="3"/>
    <x v="2"/>
    <x v="4"/>
    <x v="1"/>
    <x v="63"/>
    <x v="659"/>
    <x v="670"/>
    <x v="622"/>
    <x v="0"/>
    <x v="1"/>
    <x v="24"/>
  </r>
  <r>
    <x v="824"/>
    <x v="322"/>
    <x v="625"/>
    <x v="1"/>
    <x v="3"/>
    <x v="9"/>
    <x v="4"/>
    <x v="402"/>
    <x v="564"/>
    <x v="671"/>
    <x v="623"/>
    <x v="1"/>
    <x v="2"/>
    <x v="72"/>
  </r>
  <r>
    <x v="825"/>
    <x v="106"/>
    <x v="74"/>
    <x v="1"/>
    <x v="2"/>
    <x v="4"/>
    <x v="4"/>
    <x v="41"/>
    <x v="42"/>
    <x v="672"/>
    <x v="624"/>
    <x v="3"/>
    <x v="2"/>
    <x v="4"/>
  </r>
  <r>
    <x v="826"/>
    <x v="142"/>
    <x v="626"/>
    <x v="4"/>
    <x v="0"/>
    <x v="13"/>
    <x v="4"/>
    <x v="387"/>
    <x v="660"/>
    <x v="533"/>
    <x v="625"/>
    <x v="3"/>
    <x v="1"/>
    <x v="47"/>
  </r>
  <r>
    <x v="827"/>
    <x v="7"/>
    <x v="627"/>
    <x v="2"/>
    <x v="0"/>
    <x v="3"/>
    <x v="4"/>
    <x v="440"/>
    <x v="661"/>
    <x v="673"/>
    <x v="307"/>
    <x v="2"/>
    <x v="0"/>
    <x v="63"/>
  </r>
  <r>
    <x v="828"/>
    <x v="323"/>
    <x v="9"/>
    <x v="4"/>
    <x v="3"/>
    <x v="9"/>
    <x v="2"/>
    <x v="229"/>
    <x v="662"/>
    <x v="9"/>
    <x v="377"/>
    <x v="2"/>
    <x v="0"/>
    <x v="38"/>
  </r>
  <r>
    <x v="829"/>
    <x v="25"/>
    <x v="101"/>
    <x v="2"/>
    <x v="2"/>
    <x v="11"/>
    <x v="0"/>
    <x v="261"/>
    <x v="663"/>
    <x v="674"/>
    <x v="626"/>
    <x v="0"/>
    <x v="2"/>
    <x v="45"/>
  </r>
  <r>
    <x v="830"/>
    <x v="253"/>
    <x v="628"/>
    <x v="2"/>
    <x v="1"/>
    <x v="6"/>
    <x v="3"/>
    <x v="439"/>
    <x v="15"/>
    <x v="440"/>
    <x v="627"/>
    <x v="2"/>
    <x v="0"/>
    <x v="17"/>
  </r>
  <r>
    <x v="831"/>
    <x v="16"/>
    <x v="629"/>
    <x v="2"/>
    <x v="2"/>
    <x v="2"/>
    <x v="3"/>
    <x v="18"/>
    <x v="664"/>
    <x v="582"/>
    <x v="628"/>
    <x v="0"/>
    <x v="1"/>
    <x v="3"/>
  </r>
  <r>
    <x v="832"/>
    <x v="322"/>
    <x v="630"/>
    <x v="4"/>
    <x v="0"/>
    <x v="13"/>
    <x v="4"/>
    <x v="358"/>
    <x v="665"/>
    <x v="675"/>
    <x v="229"/>
    <x v="3"/>
    <x v="2"/>
    <x v="32"/>
  </r>
  <r>
    <x v="833"/>
    <x v="212"/>
    <x v="631"/>
    <x v="3"/>
    <x v="3"/>
    <x v="9"/>
    <x v="3"/>
    <x v="188"/>
    <x v="666"/>
    <x v="158"/>
    <x v="629"/>
    <x v="3"/>
    <x v="1"/>
    <x v="8"/>
  </r>
  <r>
    <x v="834"/>
    <x v="252"/>
    <x v="632"/>
    <x v="2"/>
    <x v="3"/>
    <x v="7"/>
    <x v="0"/>
    <x v="215"/>
    <x v="667"/>
    <x v="676"/>
    <x v="630"/>
    <x v="2"/>
    <x v="1"/>
    <x v="19"/>
  </r>
  <r>
    <x v="835"/>
    <x v="277"/>
    <x v="395"/>
    <x v="1"/>
    <x v="3"/>
    <x v="9"/>
    <x v="0"/>
    <x v="112"/>
    <x v="668"/>
    <x v="677"/>
    <x v="631"/>
    <x v="3"/>
    <x v="0"/>
    <x v="45"/>
  </r>
  <r>
    <x v="836"/>
    <x v="324"/>
    <x v="633"/>
    <x v="2"/>
    <x v="0"/>
    <x v="13"/>
    <x v="0"/>
    <x v="199"/>
    <x v="497"/>
    <x v="678"/>
    <x v="286"/>
    <x v="3"/>
    <x v="2"/>
    <x v="60"/>
  </r>
  <r>
    <x v="837"/>
    <x v="197"/>
    <x v="111"/>
    <x v="0"/>
    <x v="0"/>
    <x v="13"/>
    <x v="2"/>
    <x v="49"/>
    <x v="51"/>
    <x v="108"/>
    <x v="632"/>
    <x v="0"/>
    <x v="2"/>
    <x v="43"/>
  </r>
  <r>
    <x v="838"/>
    <x v="189"/>
    <x v="634"/>
    <x v="3"/>
    <x v="1"/>
    <x v="1"/>
    <x v="1"/>
    <x v="197"/>
    <x v="669"/>
    <x v="506"/>
    <x v="399"/>
    <x v="2"/>
    <x v="2"/>
    <x v="19"/>
  </r>
  <r>
    <x v="839"/>
    <x v="253"/>
    <x v="635"/>
    <x v="2"/>
    <x v="2"/>
    <x v="12"/>
    <x v="3"/>
    <x v="430"/>
    <x v="280"/>
    <x v="679"/>
    <x v="633"/>
    <x v="2"/>
    <x v="2"/>
    <x v="77"/>
  </r>
  <r>
    <x v="840"/>
    <x v="16"/>
    <x v="636"/>
    <x v="3"/>
    <x v="1"/>
    <x v="10"/>
    <x v="0"/>
    <x v="54"/>
    <x v="670"/>
    <x v="667"/>
    <x v="579"/>
    <x v="1"/>
    <x v="2"/>
    <x v="66"/>
  </r>
  <r>
    <x v="841"/>
    <x v="269"/>
    <x v="637"/>
    <x v="3"/>
    <x v="1"/>
    <x v="1"/>
    <x v="2"/>
    <x v="10"/>
    <x v="671"/>
    <x v="680"/>
    <x v="57"/>
    <x v="2"/>
    <x v="0"/>
    <x v="24"/>
  </r>
  <r>
    <x v="842"/>
    <x v="85"/>
    <x v="638"/>
    <x v="4"/>
    <x v="2"/>
    <x v="5"/>
    <x v="3"/>
    <x v="183"/>
    <x v="173"/>
    <x v="681"/>
    <x v="147"/>
    <x v="1"/>
    <x v="2"/>
    <x v="87"/>
  </r>
  <r>
    <x v="843"/>
    <x v="325"/>
    <x v="455"/>
    <x v="3"/>
    <x v="3"/>
    <x v="8"/>
    <x v="4"/>
    <x v="396"/>
    <x v="547"/>
    <x v="682"/>
    <x v="59"/>
    <x v="2"/>
    <x v="1"/>
    <x v="10"/>
  </r>
  <r>
    <x v="844"/>
    <x v="17"/>
    <x v="539"/>
    <x v="1"/>
    <x v="1"/>
    <x v="1"/>
    <x v="4"/>
    <x v="441"/>
    <x v="672"/>
    <x v="683"/>
    <x v="634"/>
    <x v="2"/>
    <x v="2"/>
    <x v="85"/>
  </r>
  <r>
    <x v="845"/>
    <x v="140"/>
    <x v="431"/>
    <x v="2"/>
    <x v="3"/>
    <x v="9"/>
    <x v="0"/>
    <x v="442"/>
    <x v="673"/>
    <x v="446"/>
    <x v="635"/>
    <x v="2"/>
    <x v="1"/>
    <x v="30"/>
  </r>
  <r>
    <x v="846"/>
    <x v="202"/>
    <x v="639"/>
    <x v="3"/>
    <x v="2"/>
    <x v="2"/>
    <x v="4"/>
    <x v="443"/>
    <x v="242"/>
    <x v="684"/>
    <x v="408"/>
    <x v="1"/>
    <x v="0"/>
    <x v="5"/>
  </r>
  <r>
    <x v="847"/>
    <x v="303"/>
    <x v="640"/>
    <x v="4"/>
    <x v="1"/>
    <x v="10"/>
    <x v="3"/>
    <x v="444"/>
    <x v="674"/>
    <x v="685"/>
    <x v="146"/>
    <x v="3"/>
    <x v="2"/>
    <x v="78"/>
  </r>
  <r>
    <x v="848"/>
    <x v="323"/>
    <x v="471"/>
    <x v="2"/>
    <x v="0"/>
    <x v="13"/>
    <x v="3"/>
    <x v="445"/>
    <x v="675"/>
    <x v="686"/>
    <x v="320"/>
    <x v="1"/>
    <x v="1"/>
    <x v="14"/>
  </r>
  <r>
    <x v="849"/>
    <x v="141"/>
    <x v="248"/>
    <x v="1"/>
    <x v="2"/>
    <x v="5"/>
    <x v="3"/>
    <x v="332"/>
    <x v="622"/>
    <x v="687"/>
    <x v="127"/>
    <x v="2"/>
    <x v="1"/>
    <x v="34"/>
  </r>
  <r>
    <x v="850"/>
    <x v="72"/>
    <x v="641"/>
    <x v="3"/>
    <x v="2"/>
    <x v="2"/>
    <x v="4"/>
    <x v="395"/>
    <x v="676"/>
    <x v="688"/>
    <x v="636"/>
    <x v="2"/>
    <x v="2"/>
    <x v="44"/>
  </r>
  <r>
    <x v="851"/>
    <x v="116"/>
    <x v="642"/>
    <x v="4"/>
    <x v="0"/>
    <x v="0"/>
    <x v="4"/>
    <x v="300"/>
    <x v="677"/>
    <x v="689"/>
    <x v="637"/>
    <x v="2"/>
    <x v="2"/>
    <x v="36"/>
  </r>
  <r>
    <x v="852"/>
    <x v="128"/>
    <x v="320"/>
    <x v="0"/>
    <x v="3"/>
    <x v="7"/>
    <x v="1"/>
    <x v="318"/>
    <x v="678"/>
    <x v="427"/>
    <x v="340"/>
    <x v="3"/>
    <x v="0"/>
    <x v="88"/>
  </r>
  <r>
    <x v="853"/>
    <x v="281"/>
    <x v="643"/>
    <x v="0"/>
    <x v="1"/>
    <x v="6"/>
    <x v="1"/>
    <x v="9"/>
    <x v="679"/>
    <x v="690"/>
    <x v="638"/>
    <x v="2"/>
    <x v="2"/>
    <x v="87"/>
  </r>
  <r>
    <x v="854"/>
    <x v="148"/>
    <x v="644"/>
    <x v="1"/>
    <x v="0"/>
    <x v="0"/>
    <x v="3"/>
    <x v="93"/>
    <x v="680"/>
    <x v="691"/>
    <x v="94"/>
    <x v="2"/>
    <x v="0"/>
    <x v="65"/>
  </r>
  <r>
    <x v="855"/>
    <x v="326"/>
    <x v="621"/>
    <x v="4"/>
    <x v="3"/>
    <x v="7"/>
    <x v="3"/>
    <x v="446"/>
    <x v="681"/>
    <x v="692"/>
    <x v="639"/>
    <x v="2"/>
    <x v="1"/>
    <x v="51"/>
  </r>
  <r>
    <x v="856"/>
    <x v="223"/>
    <x v="353"/>
    <x v="2"/>
    <x v="2"/>
    <x v="12"/>
    <x v="1"/>
    <x v="90"/>
    <x v="98"/>
    <x v="183"/>
    <x v="533"/>
    <x v="0"/>
    <x v="1"/>
    <x v="3"/>
  </r>
  <r>
    <x v="857"/>
    <x v="98"/>
    <x v="645"/>
    <x v="4"/>
    <x v="0"/>
    <x v="13"/>
    <x v="4"/>
    <x v="447"/>
    <x v="682"/>
    <x v="561"/>
    <x v="640"/>
    <x v="1"/>
    <x v="0"/>
    <x v="69"/>
  </r>
  <r>
    <x v="858"/>
    <x v="327"/>
    <x v="646"/>
    <x v="3"/>
    <x v="2"/>
    <x v="11"/>
    <x v="3"/>
    <x v="348"/>
    <x v="456"/>
    <x v="81"/>
    <x v="641"/>
    <x v="0"/>
    <x v="2"/>
    <x v="19"/>
  </r>
  <r>
    <x v="859"/>
    <x v="286"/>
    <x v="647"/>
    <x v="2"/>
    <x v="2"/>
    <x v="11"/>
    <x v="3"/>
    <x v="361"/>
    <x v="523"/>
    <x v="293"/>
    <x v="444"/>
    <x v="0"/>
    <x v="2"/>
    <x v="10"/>
  </r>
  <r>
    <x v="860"/>
    <x v="105"/>
    <x v="513"/>
    <x v="2"/>
    <x v="2"/>
    <x v="4"/>
    <x v="3"/>
    <x v="277"/>
    <x v="683"/>
    <x v="691"/>
    <x v="642"/>
    <x v="0"/>
    <x v="0"/>
    <x v="91"/>
  </r>
  <r>
    <x v="861"/>
    <x v="140"/>
    <x v="648"/>
    <x v="2"/>
    <x v="0"/>
    <x v="3"/>
    <x v="2"/>
    <x v="31"/>
    <x v="31"/>
    <x v="693"/>
    <x v="377"/>
    <x v="0"/>
    <x v="1"/>
    <x v="38"/>
  </r>
  <r>
    <x v="862"/>
    <x v="188"/>
    <x v="460"/>
    <x v="4"/>
    <x v="3"/>
    <x v="7"/>
    <x v="1"/>
    <x v="448"/>
    <x v="629"/>
    <x v="89"/>
    <x v="643"/>
    <x v="2"/>
    <x v="1"/>
    <x v="44"/>
  </r>
  <r>
    <x v="863"/>
    <x v="313"/>
    <x v="102"/>
    <x v="3"/>
    <x v="2"/>
    <x v="12"/>
    <x v="1"/>
    <x v="6"/>
    <x v="684"/>
    <x v="358"/>
    <x v="644"/>
    <x v="3"/>
    <x v="0"/>
    <x v="9"/>
  </r>
  <r>
    <x v="864"/>
    <x v="217"/>
    <x v="649"/>
    <x v="4"/>
    <x v="1"/>
    <x v="14"/>
    <x v="0"/>
    <x v="97"/>
    <x v="685"/>
    <x v="694"/>
    <x v="645"/>
    <x v="1"/>
    <x v="2"/>
    <x v="63"/>
  </r>
  <r>
    <x v="865"/>
    <x v="229"/>
    <x v="59"/>
    <x v="3"/>
    <x v="2"/>
    <x v="2"/>
    <x v="3"/>
    <x v="205"/>
    <x v="686"/>
    <x v="695"/>
    <x v="646"/>
    <x v="0"/>
    <x v="0"/>
    <x v="11"/>
  </r>
  <r>
    <x v="866"/>
    <x v="268"/>
    <x v="650"/>
    <x v="3"/>
    <x v="1"/>
    <x v="10"/>
    <x v="4"/>
    <x v="413"/>
    <x v="687"/>
    <x v="696"/>
    <x v="647"/>
    <x v="0"/>
    <x v="1"/>
    <x v="2"/>
  </r>
  <r>
    <x v="867"/>
    <x v="25"/>
    <x v="651"/>
    <x v="3"/>
    <x v="0"/>
    <x v="0"/>
    <x v="0"/>
    <x v="72"/>
    <x v="77"/>
    <x v="697"/>
    <x v="648"/>
    <x v="3"/>
    <x v="2"/>
    <x v="30"/>
  </r>
  <r>
    <x v="868"/>
    <x v="228"/>
    <x v="652"/>
    <x v="2"/>
    <x v="2"/>
    <x v="4"/>
    <x v="2"/>
    <x v="173"/>
    <x v="688"/>
    <x v="571"/>
    <x v="51"/>
    <x v="0"/>
    <x v="0"/>
    <x v="34"/>
  </r>
  <r>
    <x v="869"/>
    <x v="256"/>
    <x v="653"/>
    <x v="0"/>
    <x v="0"/>
    <x v="0"/>
    <x v="1"/>
    <x v="449"/>
    <x v="166"/>
    <x v="2"/>
    <x v="649"/>
    <x v="1"/>
    <x v="2"/>
    <x v="2"/>
  </r>
  <r>
    <x v="870"/>
    <x v="136"/>
    <x v="541"/>
    <x v="1"/>
    <x v="1"/>
    <x v="1"/>
    <x v="1"/>
    <x v="209"/>
    <x v="171"/>
    <x v="698"/>
    <x v="650"/>
    <x v="1"/>
    <x v="1"/>
    <x v="85"/>
  </r>
  <r>
    <x v="871"/>
    <x v="117"/>
    <x v="641"/>
    <x v="0"/>
    <x v="3"/>
    <x v="8"/>
    <x v="1"/>
    <x v="342"/>
    <x v="444"/>
    <x v="699"/>
    <x v="589"/>
    <x v="1"/>
    <x v="0"/>
    <x v="8"/>
  </r>
  <r>
    <x v="872"/>
    <x v="6"/>
    <x v="654"/>
    <x v="2"/>
    <x v="1"/>
    <x v="14"/>
    <x v="4"/>
    <x v="321"/>
    <x v="689"/>
    <x v="645"/>
    <x v="651"/>
    <x v="2"/>
    <x v="0"/>
    <x v="53"/>
  </r>
  <r>
    <x v="873"/>
    <x v="324"/>
    <x v="655"/>
    <x v="1"/>
    <x v="0"/>
    <x v="0"/>
    <x v="2"/>
    <x v="176"/>
    <x v="93"/>
    <x v="700"/>
    <x v="652"/>
    <x v="1"/>
    <x v="1"/>
    <x v="93"/>
  </r>
  <r>
    <x v="874"/>
    <x v="281"/>
    <x v="656"/>
    <x v="1"/>
    <x v="0"/>
    <x v="3"/>
    <x v="1"/>
    <x v="51"/>
    <x v="53"/>
    <x v="701"/>
    <x v="374"/>
    <x v="0"/>
    <x v="0"/>
    <x v="43"/>
  </r>
  <r>
    <x v="875"/>
    <x v="20"/>
    <x v="657"/>
    <x v="4"/>
    <x v="1"/>
    <x v="6"/>
    <x v="3"/>
    <x v="450"/>
    <x v="645"/>
    <x v="702"/>
    <x v="653"/>
    <x v="3"/>
    <x v="2"/>
    <x v="27"/>
  </r>
  <r>
    <x v="876"/>
    <x v="196"/>
    <x v="658"/>
    <x v="2"/>
    <x v="2"/>
    <x v="5"/>
    <x v="4"/>
    <x v="92"/>
    <x v="690"/>
    <x v="703"/>
    <x v="518"/>
    <x v="0"/>
    <x v="1"/>
    <x v="12"/>
  </r>
  <r>
    <x v="877"/>
    <x v="236"/>
    <x v="659"/>
    <x v="1"/>
    <x v="0"/>
    <x v="3"/>
    <x v="0"/>
    <x v="341"/>
    <x v="691"/>
    <x v="704"/>
    <x v="20"/>
    <x v="0"/>
    <x v="2"/>
    <x v="39"/>
  </r>
  <r>
    <x v="878"/>
    <x v="328"/>
    <x v="33"/>
    <x v="3"/>
    <x v="0"/>
    <x v="13"/>
    <x v="0"/>
    <x v="94"/>
    <x v="692"/>
    <x v="683"/>
    <x v="654"/>
    <x v="0"/>
    <x v="1"/>
    <x v="79"/>
  </r>
  <r>
    <x v="879"/>
    <x v="329"/>
    <x v="566"/>
    <x v="4"/>
    <x v="2"/>
    <x v="5"/>
    <x v="1"/>
    <x v="90"/>
    <x v="98"/>
    <x v="705"/>
    <x v="463"/>
    <x v="3"/>
    <x v="0"/>
    <x v="61"/>
  </r>
  <r>
    <x v="880"/>
    <x v="195"/>
    <x v="457"/>
    <x v="3"/>
    <x v="0"/>
    <x v="0"/>
    <x v="4"/>
    <x v="451"/>
    <x v="693"/>
    <x v="706"/>
    <x v="416"/>
    <x v="3"/>
    <x v="2"/>
    <x v="59"/>
  </r>
  <r>
    <x v="881"/>
    <x v="92"/>
    <x v="221"/>
    <x v="0"/>
    <x v="2"/>
    <x v="4"/>
    <x v="3"/>
    <x v="452"/>
    <x v="377"/>
    <x v="707"/>
    <x v="655"/>
    <x v="2"/>
    <x v="1"/>
    <x v="40"/>
  </r>
  <r>
    <x v="882"/>
    <x v="227"/>
    <x v="88"/>
    <x v="2"/>
    <x v="2"/>
    <x v="5"/>
    <x v="0"/>
    <x v="283"/>
    <x v="350"/>
    <x v="708"/>
    <x v="656"/>
    <x v="0"/>
    <x v="1"/>
    <x v="38"/>
  </r>
  <r>
    <x v="883"/>
    <x v="259"/>
    <x v="660"/>
    <x v="4"/>
    <x v="1"/>
    <x v="10"/>
    <x v="4"/>
    <x v="71"/>
    <x v="694"/>
    <x v="709"/>
    <x v="657"/>
    <x v="3"/>
    <x v="1"/>
    <x v="63"/>
  </r>
  <r>
    <x v="884"/>
    <x v="312"/>
    <x v="661"/>
    <x v="0"/>
    <x v="1"/>
    <x v="1"/>
    <x v="1"/>
    <x v="334"/>
    <x v="430"/>
    <x v="710"/>
    <x v="402"/>
    <x v="1"/>
    <x v="1"/>
    <x v="40"/>
  </r>
  <r>
    <x v="885"/>
    <x v="166"/>
    <x v="538"/>
    <x v="1"/>
    <x v="3"/>
    <x v="7"/>
    <x v="0"/>
    <x v="216"/>
    <x v="695"/>
    <x v="711"/>
    <x v="658"/>
    <x v="2"/>
    <x v="1"/>
    <x v="50"/>
  </r>
  <r>
    <x v="886"/>
    <x v="152"/>
    <x v="662"/>
    <x v="0"/>
    <x v="2"/>
    <x v="11"/>
    <x v="0"/>
    <x v="179"/>
    <x v="696"/>
    <x v="712"/>
    <x v="659"/>
    <x v="1"/>
    <x v="0"/>
    <x v="27"/>
  </r>
  <r>
    <x v="887"/>
    <x v="142"/>
    <x v="549"/>
    <x v="0"/>
    <x v="2"/>
    <x v="11"/>
    <x v="1"/>
    <x v="402"/>
    <x v="697"/>
    <x v="346"/>
    <x v="456"/>
    <x v="1"/>
    <x v="2"/>
    <x v="15"/>
  </r>
  <r>
    <x v="888"/>
    <x v="199"/>
    <x v="663"/>
    <x v="0"/>
    <x v="1"/>
    <x v="1"/>
    <x v="2"/>
    <x v="125"/>
    <x v="698"/>
    <x v="398"/>
    <x v="327"/>
    <x v="3"/>
    <x v="1"/>
    <x v="48"/>
  </r>
  <r>
    <x v="889"/>
    <x v="86"/>
    <x v="664"/>
    <x v="2"/>
    <x v="2"/>
    <x v="11"/>
    <x v="3"/>
    <x v="285"/>
    <x v="699"/>
    <x v="362"/>
    <x v="660"/>
    <x v="1"/>
    <x v="1"/>
    <x v="47"/>
  </r>
  <r>
    <x v="890"/>
    <x v="70"/>
    <x v="665"/>
    <x v="4"/>
    <x v="1"/>
    <x v="6"/>
    <x v="1"/>
    <x v="379"/>
    <x v="700"/>
    <x v="713"/>
    <x v="205"/>
    <x v="1"/>
    <x v="1"/>
    <x v="46"/>
  </r>
  <r>
    <x v="891"/>
    <x v="49"/>
    <x v="666"/>
    <x v="1"/>
    <x v="2"/>
    <x v="4"/>
    <x v="1"/>
    <x v="328"/>
    <x v="416"/>
    <x v="289"/>
    <x v="640"/>
    <x v="1"/>
    <x v="0"/>
    <x v="45"/>
  </r>
  <r>
    <x v="892"/>
    <x v="287"/>
    <x v="667"/>
    <x v="1"/>
    <x v="1"/>
    <x v="14"/>
    <x v="1"/>
    <x v="330"/>
    <x v="577"/>
    <x v="695"/>
    <x v="307"/>
    <x v="1"/>
    <x v="0"/>
    <x v="95"/>
  </r>
  <r>
    <x v="893"/>
    <x v="117"/>
    <x v="668"/>
    <x v="2"/>
    <x v="2"/>
    <x v="5"/>
    <x v="3"/>
    <x v="453"/>
    <x v="701"/>
    <x v="714"/>
    <x v="661"/>
    <x v="3"/>
    <x v="0"/>
    <x v="71"/>
  </r>
  <r>
    <x v="894"/>
    <x v="96"/>
    <x v="669"/>
    <x v="0"/>
    <x v="2"/>
    <x v="2"/>
    <x v="3"/>
    <x v="382"/>
    <x v="646"/>
    <x v="715"/>
    <x v="313"/>
    <x v="0"/>
    <x v="1"/>
    <x v="87"/>
  </r>
  <r>
    <x v="895"/>
    <x v="259"/>
    <x v="654"/>
    <x v="4"/>
    <x v="3"/>
    <x v="8"/>
    <x v="0"/>
    <x v="388"/>
    <x v="601"/>
    <x v="716"/>
    <x v="662"/>
    <x v="3"/>
    <x v="0"/>
    <x v="57"/>
  </r>
  <r>
    <x v="896"/>
    <x v="118"/>
    <x v="563"/>
    <x v="3"/>
    <x v="2"/>
    <x v="5"/>
    <x v="3"/>
    <x v="234"/>
    <x v="655"/>
    <x v="717"/>
    <x v="619"/>
    <x v="1"/>
    <x v="1"/>
    <x v="43"/>
  </r>
  <r>
    <x v="897"/>
    <x v="330"/>
    <x v="633"/>
    <x v="3"/>
    <x v="3"/>
    <x v="7"/>
    <x v="1"/>
    <x v="454"/>
    <x v="702"/>
    <x v="718"/>
    <x v="663"/>
    <x v="0"/>
    <x v="1"/>
    <x v="98"/>
  </r>
  <r>
    <x v="898"/>
    <x v="43"/>
    <x v="648"/>
    <x v="4"/>
    <x v="3"/>
    <x v="9"/>
    <x v="4"/>
    <x v="164"/>
    <x v="703"/>
    <x v="719"/>
    <x v="526"/>
    <x v="0"/>
    <x v="1"/>
    <x v="72"/>
  </r>
  <r>
    <x v="899"/>
    <x v="66"/>
    <x v="670"/>
    <x v="4"/>
    <x v="2"/>
    <x v="5"/>
    <x v="4"/>
    <x v="455"/>
    <x v="704"/>
    <x v="720"/>
    <x v="639"/>
    <x v="0"/>
    <x v="0"/>
    <x v="11"/>
  </r>
  <r>
    <x v="900"/>
    <x v="185"/>
    <x v="671"/>
    <x v="2"/>
    <x v="1"/>
    <x v="10"/>
    <x v="3"/>
    <x v="456"/>
    <x v="705"/>
    <x v="130"/>
    <x v="23"/>
    <x v="1"/>
    <x v="1"/>
    <x v="95"/>
  </r>
  <r>
    <x v="901"/>
    <x v="90"/>
    <x v="462"/>
    <x v="2"/>
    <x v="0"/>
    <x v="0"/>
    <x v="1"/>
    <x v="286"/>
    <x v="432"/>
    <x v="721"/>
    <x v="296"/>
    <x v="0"/>
    <x v="1"/>
    <x v="18"/>
  </r>
  <r>
    <x v="902"/>
    <x v="172"/>
    <x v="672"/>
    <x v="3"/>
    <x v="0"/>
    <x v="0"/>
    <x v="3"/>
    <x v="457"/>
    <x v="706"/>
    <x v="722"/>
    <x v="235"/>
    <x v="1"/>
    <x v="0"/>
    <x v="98"/>
  </r>
  <r>
    <x v="903"/>
    <x v="135"/>
    <x v="673"/>
    <x v="0"/>
    <x v="1"/>
    <x v="6"/>
    <x v="2"/>
    <x v="318"/>
    <x v="404"/>
    <x v="396"/>
    <x v="664"/>
    <x v="2"/>
    <x v="0"/>
    <x v="28"/>
  </r>
  <r>
    <x v="904"/>
    <x v="128"/>
    <x v="674"/>
    <x v="2"/>
    <x v="1"/>
    <x v="1"/>
    <x v="1"/>
    <x v="261"/>
    <x v="318"/>
    <x v="350"/>
    <x v="665"/>
    <x v="2"/>
    <x v="2"/>
    <x v="12"/>
  </r>
  <r>
    <x v="905"/>
    <x v="331"/>
    <x v="625"/>
    <x v="2"/>
    <x v="2"/>
    <x v="11"/>
    <x v="0"/>
    <x v="376"/>
    <x v="502"/>
    <x v="402"/>
    <x v="666"/>
    <x v="1"/>
    <x v="0"/>
    <x v="24"/>
  </r>
  <r>
    <x v="906"/>
    <x v="244"/>
    <x v="281"/>
    <x v="1"/>
    <x v="0"/>
    <x v="13"/>
    <x v="3"/>
    <x v="390"/>
    <x v="707"/>
    <x v="723"/>
    <x v="407"/>
    <x v="3"/>
    <x v="0"/>
    <x v="82"/>
  </r>
  <r>
    <x v="907"/>
    <x v="332"/>
    <x v="675"/>
    <x v="2"/>
    <x v="3"/>
    <x v="9"/>
    <x v="0"/>
    <x v="198"/>
    <x v="226"/>
    <x v="724"/>
    <x v="667"/>
    <x v="2"/>
    <x v="2"/>
    <x v="49"/>
  </r>
  <r>
    <x v="908"/>
    <x v="56"/>
    <x v="212"/>
    <x v="4"/>
    <x v="1"/>
    <x v="6"/>
    <x v="2"/>
    <x v="13"/>
    <x v="708"/>
    <x v="467"/>
    <x v="668"/>
    <x v="0"/>
    <x v="1"/>
    <x v="35"/>
  </r>
  <r>
    <x v="909"/>
    <x v="215"/>
    <x v="676"/>
    <x v="4"/>
    <x v="0"/>
    <x v="13"/>
    <x v="4"/>
    <x v="353"/>
    <x v="709"/>
    <x v="725"/>
    <x v="511"/>
    <x v="0"/>
    <x v="1"/>
    <x v="52"/>
  </r>
  <r>
    <x v="910"/>
    <x v="67"/>
    <x v="677"/>
    <x v="4"/>
    <x v="3"/>
    <x v="8"/>
    <x v="1"/>
    <x v="104"/>
    <x v="112"/>
    <x v="726"/>
    <x v="224"/>
    <x v="3"/>
    <x v="0"/>
    <x v="14"/>
  </r>
  <r>
    <x v="911"/>
    <x v="136"/>
    <x v="613"/>
    <x v="3"/>
    <x v="2"/>
    <x v="4"/>
    <x v="1"/>
    <x v="390"/>
    <x v="710"/>
    <x v="444"/>
    <x v="669"/>
    <x v="2"/>
    <x v="2"/>
    <x v="78"/>
  </r>
  <r>
    <x v="912"/>
    <x v="122"/>
    <x v="508"/>
    <x v="0"/>
    <x v="0"/>
    <x v="0"/>
    <x v="2"/>
    <x v="52"/>
    <x v="55"/>
    <x v="727"/>
    <x v="633"/>
    <x v="0"/>
    <x v="0"/>
    <x v="0"/>
  </r>
  <r>
    <x v="913"/>
    <x v="24"/>
    <x v="662"/>
    <x v="2"/>
    <x v="3"/>
    <x v="7"/>
    <x v="3"/>
    <x v="189"/>
    <x v="247"/>
    <x v="728"/>
    <x v="670"/>
    <x v="1"/>
    <x v="0"/>
    <x v="81"/>
  </r>
  <r>
    <x v="914"/>
    <x v="308"/>
    <x v="365"/>
    <x v="4"/>
    <x v="0"/>
    <x v="13"/>
    <x v="2"/>
    <x v="458"/>
    <x v="190"/>
    <x v="729"/>
    <x v="671"/>
    <x v="0"/>
    <x v="2"/>
    <x v="94"/>
  </r>
  <r>
    <x v="915"/>
    <x v="117"/>
    <x v="299"/>
    <x v="1"/>
    <x v="1"/>
    <x v="1"/>
    <x v="2"/>
    <x v="311"/>
    <x v="711"/>
    <x v="251"/>
    <x v="600"/>
    <x v="3"/>
    <x v="2"/>
    <x v="20"/>
  </r>
  <r>
    <x v="916"/>
    <x v="159"/>
    <x v="560"/>
    <x v="4"/>
    <x v="3"/>
    <x v="9"/>
    <x v="3"/>
    <x v="249"/>
    <x v="182"/>
    <x v="271"/>
    <x v="496"/>
    <x v="2"/>
    <x v="2"/>
    <x v="45"/>
  </r>
  <r>
    <x v="917"/>
    <x v="186"/>
    <x v="677"/>
    <x v="3"/>
    <x v="3"/>
    <x v="9"/>
    <x v="4"/>
    <x v="65"/>
    <x v="89"/>
    <x v="702"/>
    <x v="672"/>
    <x v="0"/>
    <x v="0"/>
    <x v="30"/>
  </r>
  <r>
    <x v="918"/>
    <x v="9"/>
    <x v="426"/>
    <x v="4"/>
    <x v="3"/>
    <x v="8"/>
    <x v="1"/>
    <x v="459"/>
    <x v="712"/>
    <x v="196"/>
    <x v="673"/>
    <x v="0"/>
    <x v="2"/>
    <x v="41"/>
  </r>
  <r>
    <x v="919"/>
    <x v="61"/>
    <x v="678"/>
    <x v="3"/>
    <x v="0"/>
    <x v="0"/>
    <x v="1"/>
    <x v="413"/>
    <x v="713"/>
    <x v="730"/>
    <x v="674"/>
    <x v="3"/>
    <x v="0"/>
    <x v="17"/>
  </r>
  <r>
    <x v="920"/>
    <x v="248"/>
    <x v="679"/>
    <x v="3"/>
    <x v="3"/>
    <x v="9"/>
    <x v="1"/>
    <x v="383"/>
    <x v="714"/>
    <x v="731"/>
    <x v="192"/>
    <x v="1"/>
    <x v="1"/>
    <x v="27"/>
  </r>
  <r>
    <x v="921"/>
    <x v="333"/>
    <x v="524"/>
    <x v="3"/>
    <x v="1"/>
    <x v="1"/>
    <x v="1"/>
    <x v="118"/>
    <x v="715"/>
    <x v="435"/>
    <x v="675"/>
    <x v="0"/>
    <x v="2"/>
    <x v="27"/>
  </r>
  <r>
    <x v="922"/>
    <x v="183"/>
    <x v="680"/>
    <x v="2"/>
    <x v="3"/>
    <x v="9"/>
    <x v="0"/>
    <x v="460"/>
    <x v="716"/>
    <x v="732"/>
    <x v="392"/>
    <x v="2"/>
    <x v="0"/>
    <x v="0"/>
  </r>
  <r>
    <x v="923"/>
    <x v="235"/>
    <x v="681"/>
    <x v="2"/>
    <x v="0"/>
    <x v="13"/>
    <x v="4"/>
    <x v="387"/>
    <x v="660"/>
    <x v="576"/>
    <x v="676"/>
    <x v="1"/>
    <x v="2"/>
    <x v="56"/>
  </r>
  <r>
    <x v="924"/>
    <x v="334"/>
    <x v="682"/>
    <x v="1"/>
    <x v="3"/>
    <x v="8"/>
    <x v="0"/>
    <x v="461"/>
    <x v="717"/>
    <x v="733"/>
    <x v="588"/>
    <x v="2"/>
    <x v="1"/>
    <x v="82"/>
  </r>
  <r>
    <x v="925"/>
    <x v="93"/>
    <x v="421"/>
    <x v="0"/>
    <x v="2"/>
    <x v="2"/>
    <x v="3"/>
    <x v="197"/>
    <x v="718"/>
    <x v="734"/>
    <x v="92"/>
    <x v="1"/>
    <x v="2"/>
    <x v="78"/>
  </r>
  <r>
    <x v="926"/>
    <x v="253"/>
    <x v="183"/>
    <x v="1"/>
    <x v="2"/>
    <x v="4"/>
    <x v="3"/>
    <x v="458"/>
    <x v="719"/>
    <x v="735"/>
    <x v="568"/>
    <x v="0"/>
    <x v="1"/>
    <x v="63"/>
  </r>
  <r>
    <x v="927"/>
    <x v="291"/>
    <x v="205"/>
    <x v="0"/>
    <x v="1"/>
    <x v="10"/>
    <x v="3"/>
    <x v="172"/>
    <x v="563"/>
    <x v="736"/>
    <x v="537"/>
    <x v="0"/>
    <x v="0"/>
    <x v="13"/>
  </r>
  <r>
    <x v="928"/>
    <x v="122"/>
    <x v="683"/>
    <x v="4"/>
    <x v="0"/>
    <x v="0"/>
    <x v="4"/>
    <x v="447"/>
    <x v="682"/>
    <x v="183"/>
    <x v="677"/>
    <x v="1"/>
    <x v="0"/>
    <x v="56"/>
  </r>
  <r>
    <x v="929"/>
    <x v="239"/>
    <x v="684"/>
    <x v="3"/>
    <x v="3"/>
    <x v="8"/>
    <x v="0"/>
    <x v="213"/>
    <x v="720"/>
    <x v="737"/>
    <x v="678"/>
    <x v="3"/>
    <x v="1"/>
    <x v="37"/>
  </r>
  <r>
    <x v="930"/>
    <x v="17"/>
    <x v="565"/>
    <x v="0"/>
    <x v="2"/>
    <x v="11"/>
    <x v="3"/>
    <x v="59"/>
    <x v="119"/>
    <x v="251"/>
    <x v="679"/>
    <x v="2"/>
    <x v="2"/>
    <x v="8"/>
  </r>
  <r>
    <x v="931"/>
    <x v="171"/>
    <x v="442"/>
    <x v="2"/>
    <x v="1"/>
    <x v="6"/>
    <x v="4"/>
    <x v="462"/>
    <x v="595"/>
    <x v="738"/>
    <x v="680"/>
    <x v="3"/>
    <x v="2"/>
    <x v="9"/>
  </r>
  <r>
    <x v="932"/>
    <x v="198"/>
    <x v="137"/>
    <x v="4"/>
    <x v="2"/>
    <x v="4"/>
    <x v="2"/>
    <x v="372"/>
    <x v="721"/>
    <x v="262"/>
    <x v="681"/>
    <x v="2"/>
    <x v="0"/>
    <x v="39"/>
  </r>
  <r>
    <x v="933"/>
    <x v="131"/>
    <x v="685"/>
    <x v="4"/>
    <x v="1"/>
    <x v="14"/>
    <x v="3"/>
    <x v="463"/>
    <x v="722"/>
    <x v="739"/>
    <x v="682"/>
    <x v="2"/>
    <x v="0"/>
    <x v="61"/>
  </r>
  <r>
    <x v="934"/>
    <x v="14"/>
    <x v="686"/>
    <x v="3"/>
    <x v="2"/>
    <x v="12"/>
    <x v="4"/>
    <x v="67"/>
    <x v="723"/>
    <x v="740"/>
    <x v="683"/>
    <x v="0"/>
    <x v="0"/>
    <x v="21"/>
  </r>
  <r>
    <x v="935"/>
    <x v="237"/>
    <x v="436"/>
    <x v="2"/>
    <x v="0"/>
    <x v="0"/>
    <x v="0"/>
    <x v="460"/>
    <x v="716"/>
    <x v="741"/>
    <x v="492"/>
    <x v="0"/>
    <x v="2"/>
    <x v="99"/>
  </r>
  <r>
    <x v="936"/>
    <x v="101"/>
    <x v="441"/>
    <x v="1"/>
    <x v="1"/>
    <x v="1"/>
    <x v="2"/>
    <x v="291"/>
    <x v="724"/>
    <x v="278"/>
    <x v="684"/>
    <x v="1"/>
    <x v="0"/>
    <x v="29"/>
  </r>
  <r>
    <x v="937"/>
    <x v="111"/>
    <x v="567"/>
    <x v="1"/>
    <x v="3"/>
    <x v="7"/>
    <x v="4"/>
    <x v="246"/>
    <x v="420"/>
    <x v="718"/>
    <x v="685"/>
    <x v="0"/>
    <x v="0"/>
    <x v="93"/>
  </r>
  <r>
    <x v="938"/>
    <x v="20"/>
    <x v="687"/>
    <x v="3"/>
    <x v="1"/>
    <x v="14"/>
    <x v="0"/>
    <x v="464"/>
    <x v="725"/>
    <x v="742"/>
    <x v="686"/>
    <x v="3"/>
    <x v="2"/>
    <x v="64"/>
  </r>
  <r>
    <x v="939"/>
    <x v="335"/>
    <x v="688"/>
    <x v="3"/>
    <x v="0"/>
    <x v="13"/>
    <x v="3"/>
    <x v="18"/>
    <x v="664"/>
    <x v="81"/>
    <x v="237"/>
    <x v="2"/>
    <x v="1"/>
    <x v="22"/>
  </r>
  <r>
    <x v="940"/>
    <x v="139"/>
    <x v="648"/>
    <x v="0"/>
    <x v="2"/>
    <x v="11"/>
    <x v="1"/>
    <x v="253"/>
    <x v="726"/>
    <x v="743"/>
    <x v="687"/>
    <x v="1"/>
    <x v="1"/>
    <x v="20"/>
  </r>
  <r>
    <x v="941"/>
    <x v="269"/>
    <x v="367"/>
    <x v="3"/>
    <x v="1"/>
    <x v="1"/>
    <x v="0"/>
    <x v="427"/>
    <x v="629"/>
    <x v="744"/>
    <x v="688"/>
    <x v="2"/>
    <x v="0"/>
    <x v="43"/>
  </r>
  <r>
    <x v="942"/>
    <x v="285"/>
    <x v="689"/>
    <x v="2"/>
    <x v="1"/>
    <x v="14"/>
    <x v="2"/>
    <x v="240"/>
    <x v="727"/>
    <x v="745"/>
    <x v="689"/>
    <x v="2"/>
    <x v="2"/>
    <x v="1"/>
  </r>
  <r>
    <x v="943"/>
    <x v="113"/>
    <x v="690"/>
    <x v="3"/>
    <x v="1"/>
    <x v="1"/>
    <x v="3"/>
    <x v="398"/>
    <x v="728"/>
    <x v="686"/>
    <x v="690"/>
    <x v="2"/>
    <x v="1"/>
    <x v="75"/>
  </r>
  <r>
    <x v="944"/>
    <x v="122"/>
    <x v="691"/>
    <x v="0"/>
    <x v="1"/>
    <x v="1"/>
    <x v="1"/>
    <x v="465"/>
    <x v="729"/>
    <x v="54"/>
    <x v="690"/>
    <x v="1"/>
    <x v="0"/>
    <x v="0"/>
  </r>
  <r>
    <x v="945"/>
    <x v="102"/>
    <x v="692"/>
    <x v="0"/>
    <x v="0"/>
    <x v="0"/>
    <x v="3"/>
    <x v="374"/>
    <x v="387"/>
    <x v="746"/>
    <x v="384"/>
    <x v="0"/>
    <x v="2"/>
    <x v="59"/>
  </r>
  <r>
    <x v="946"/>
    <x v="35"/>
    <x v="693"/>
    <x v="0"/>
    <x v="3"/>
    <x v="7"/>
    <x v="2"/>
    <x v="426"/>
    <x v="730"/>
    <x v="747"/>
    <x v="691"/>
    <x v="0"/>
    <x v="1"/>
    <x v="78"/>
  </r>
  <r>
    <x v="947"/>
    <x v="289"/>
    <x v="65"/>
    <x v="1"/>
    <x v="2"/>
    <x v="5"/>
    <x v="0"/>
    <x v="466"/>
    <x v="731"/>
    <x v="748"/>
    <x v="692"/>
    <x v="2"/>
    <x v="0"/>
    <x v="34"/>
  </r>
  <r>
    <x v="948"/>
    <x v="326"/>
    <x v="694"/>
    <x v="4"/>
    <x v="0"/>
    <x v="0"/>
    <x v="2"/>
    <x v="455"/>
    <x v="732"/>
    <x v="749"/>
    <x v="693"/>
    <x v="3"/>
    <x v="0"/>
    <x v="92"/>
  </r>
  <r>
    <x v="949"/>
    <x v="221"/>
    <x v="695"/>
    <x v="0"/>
    <x v="1"/>
    <x v="14"/>
    <x v="3"/>
    <x v="352"/>
    <x v="395"/>
    <x v="736"/>
    <x v="241"/>
    <x v="3"/>
    <x v="1"/>
    <x v="59"/>
  </r>
  <r>
    <x v="950"/>
    <x v="248"/>
    <x v="457"/>
    <x v="1"/>
    <x v="3"/>
    <x v="9"/>
    <x v="4"/>
    <x v="467"/>
    <x v="733"/>
    <x v="750"/>
    <x v="694"/>
    <x v="0"/>
    <x v="2"/>
    <x v="47"/>
  </r>
  <r>
    <x v="951"/>
    <x v="247"/>
    <x v="696"/>
    <x v="2"/>
    <x v="1"/>
    <x v="10"/>
    <x v="0"/>
    <x v="468"/>
    <x v="734"/>
    <x v="16"/>
    <x v="576"/>
    <x v="0"/>
    <x v="2"/>
    <x v="89"/>
  </r>
  <r>
    <x v="952"/>
    <x v="120"/>
    <x v="697"/>
    <x v="4"/>
    <x v="0"/>
    <x v="0"/>
    <x v="0"/>
    <x v="244"/>
    <x v="292"/>
    <x v="379"/>
    <x v="695"/>
    <x v="0"/>
    <x v="2"/>
    <x v="21"/>
  </r>
  <r>
    <x v="953"/>
    <x v="35"/>
    <x v="245"/>
    <x v="0"/>
    <x v="1"/>
    <x v="6"/>
    <x v="4"/>
    <x v="469"/>
    <x v="735"/>
    <x v="751"/>
    <x v="696"/>
    <x v="3"/>
    <x v="0"/>
    <x v="23"/>
  </r>
  <r>
    <x v="954"/>
    <x v="182"/>
    <x v="698"/>
    <x v="1"/>
    <x v="2"/>
    <x v="4"/>
    <x v="2"/>
    <x v="115"/>
    <x v="736"/>
    <x v="296"/>
    <x v="697"/>
    <x v="1"/>
    <x v="2"/>
    <x v="66"/>
  </r>
  <r>
    <x v="955"/>
    <x v="336"/>
    <x v="699"/>
    <x v="4"/>
    <x v="0"/>
    <x v="3"/>
    <x v="1"/>
    <x v="285"/>
    <x v="737"/>
    <x v="752"/>
    <x v="418"/>
    <x v="3"/>
    <x v="1"/>
    <x v="87"/>
  </r>
  <r>
    <x v="956"/>
    <x v="293"/>
    <x v="288"/>
    <x v="0"/>
    <x v="2"/>
    <x v="4"/>
    <x v="0"/>
    <x v="470"/>
    <x v="45"/>
    <x v="753"/>
    <x v="698"/>
    <x v="2"/>
    <x v="1"/>
    <x v="95"/>
  </r>
  <r>
    <x v="957"/>
    <x v="189"/>
    <x v="638"/>
    <x v="0"/>
    <x v="2"/>
    <x v="4"/>
    <x v="3"/>
    <x v="130"/>
    <x v="738"/>
    <x v="552"/>
    <x v="271"/>
    <x v="3"/>
    <x v="0"/>
    <x v="8"/>
  </r>
  <r>
    <x v="958"/>
    <x v="159"/>
    <x v="700"/>
    <x v="0"/>
    <x v="3"/>
    <x v="8"/>
    <x v="0"/>
    <x v="264"/>
    <x v="739"/>
    <x v="754"/>
    <x v="225"/>
    <x v="1"/>
    <x v="1"/>
    <x v="85"/>
  </r>
  <r>
    <x v="959"/>
    <x v="137"/>
    <x v="701"/>
    <x v="1"/>
    <x v="2"/>
    <x v="11"/>
    <x v="1"/>
    <x v="466"/>
    <x v="126"/>
    <x v="678"/>
    <x v="128"/>
    <x v="2"/>
    <x v="0"/>
    <x v="34"/>
  </r>
  <r>
    <x v="960"/>
    <x v="73"/>
    <x v="594"/>
    <x v="3"/>
    <x v="1"/>
    <x v="1"/>
    <x v="2"/>
    <x v="152"/>
    <x v="740"/>
    <x v="755"/>
    <x v="258"/>
    <x v="0"/>
    <x v="2"/>
    <x v="84"/>
  </r>
  <r>
    <x v="961"/>
    <x v="181"/>
    <x v="702"/>
    <x v="3"/>
    <x v="0"/>
    <x v="0"/>
    <x v="4"/>
    <x v="364"/>
    <x v="487"/>
    <x v="756"/>
    <x v="570"/>
    <x v="3"/>
    <x v="0"/>
    <x v="45"/>
  </r>
  <r>
    <x v="962"/>
    <x v="205"/>
    <x v="703"/>
    <x v="3"/>
    <x v="2"/>
    <x v="4"/>
    <x v="4"/>
    <x v="218"/>
    <x v="259"/>
    <x v="757"/>
    <x v="699"/>
    <x v="0"/>
    <x v="1"/>
    <x v="45"/>
  </r>
  <r>
    <x v="963"/>
    <x v="279"/>
    <x v="304"/>
    <x v="2"/>
    <x v="1"/>
    <x v="14"/>
    <x v="1"/>
    <x v="366"/>
    <x v="620"/>
    <x v="642"/>
    <x v="700"/>
    <x v="2"/>
    <x v="0"/>
    <x v="48"/>
  </r>
  <r>
    <x v="964"/>
    <x v="72"/>
    <x v="704"/>
    <x v="0"/>
    <x v="0"/>
    <x v="13"/>
    <x v="2"/>
    <x v="388"/>
    <x v="529"/>
    <x v="758"/>
    <x v="167"/>
    <x v="3"/>
    <x v="2"/>
    <x v="90"/>
  </r>
  <r>
    <x v="965"/>
    <x v="282"/>
    <x v="705"/>
    <x v="1"/>
    <x v="1"/>
    <x v="1"/>
    <x v="1"/>
    <x v="53"/>
    <x v="56"/>
    <x v="52"/>
    <x v="701"/>
    <x v="0"/>
    <x v="2"/>
    <x v="78"/>
  </r>
  <r>
    <x v="966"/>
    <x v="75"/>
    <x v="497"/>
    <x v="4"/>
    <x v="0"/>
    <x v="13"/>
    <x v="2"/>
    <x v="74"/>
    <x v="741"/>
    <x v="727"/>
    <x v="702"/>
    <x v="0"/>
    <x v="0"/>
    <x v="57"/>
  </r>
  <r>
    <x v="967"/>
    <x v="85"/>
    <x v="15"/>
    <x v="4"/>
    <x v="1"/>
    <x v="1"/>
    <x v="1"/>
    <x v="134"/>
    <x v="148"/>
    <x v="145"/>
    <x v="703"/>
    <x v="1"/>
    <x v="0"/>
    <x v="4"/>
  </r>
  <r>
    <x v="968"/>
    <x v="270"/>
    <x v="564"/>
    <x v="1"/>
    <x v="2"/>
    <x v="5"/>
    <x v="1"/>
    <x v="68"/>
    <x v="425"/>
    <x v="759"/>
    <x v="704"/>
    <x v="3"/>
    <x v="1"/>
    <x v="82"/>
  </r>
  <r>
    <x v="969"/>
    <x v="113"/>
    <x v="613"/>
    <x v="2"/>
    <x v="1"/>
    <x v="14"/>
    <x v="4"/>
    <x v="389"/>
    <x v="742"/>
    <x v="384"/>
    <x v="705"/>
    <x v="2"/>
    <x v="0"/>
    <x v="98"/>
  </r>
  <r>
    <x v="970"/>
    <x v="87"/>
    <x v="706"/>
    <x v="1"/>
    <x v="0"/>
    <x v="13"/>
    <x v="0"/>
    <x v="359"/>
    <x v="554"/>
    <x v="760"/>
    <x v="293"/>
    <x v="2"/>
    <x v="0"/>
    <x v="65"/>
  </r>
  <r>
    <x v="971"/>
    <x v="111"/>
    <x v="690"/>
    <x v="3"/>
    <x v="0"/>
    <x v="13"/>
    <x v="1"/>
    <x v="471"/>
    <x v="743"/>
    <x v="761"/>
    <x v="443"/>
    <x v="1"/>
    <x v="0"/>
    <x v="61"/>
  </r>
  <r>
    <x v="972"/>
    <x v="337"/>
    <x v="707"/>
    <x v="2"/>
    <x v="1"/>
    <x v="1"/>
    <x v="2"/>
    <x v="100"/>
    <x v="744"/>
    <x v="5"/>
    <x v="706"/>
    <x v="1"/>
    <x v="1"/>
    <x v="81"/>
  </r>
  <r>
    <x v="973"/>
    <x v="65"/>
    <x v="708"/>
    <x v="1"/>
    <x v="1"/>
    <x v="10"/>
    <x v="0"/>
    <x v="71"/>
    <x v="745"/>
    <x v="762"/>
    <x v="214"/>
    <x v="0"/>
    <x v="1"/>
    <x v="47"/>
  </r>
  <r>
    <x v="974"/>
    <x v="149"/>
    <x v="709"/>
    <x v="2"/>
    <x v="0"/>
    <x v="3"/>
    <x v="2"/>
    <x v="334"/>
    <x v="746"/>
    <x v="763"/>
    <x v="346"/>
    <x v="1"/>
    <x v="0"/>
    <x v="72"/>
  </r>
  <r>
    <x v="975"/>
    <x v="338"/>
    <x v="271"/>
    <x v="0"/>
    <x v="0"/>
    <x v="3"/>
    <x v="4"/>
    <x v="159"/>
    <x v="747"/>
    <x v="764"/>
    <x v="707"/>
    <x v="0"/>
    <x v="2"/>
    <x v="77"/>
  </r>
  <r>
    <x v="976"/>
    <x v="244"/>
    <x v="615"/>
    <x v="1"/>
    <x v="2"/>
    <x v="4"/>
    <x v="3"/>
    <x v="76"/>
    <x v="748"/>
    <x v="393"/>
    <x v="708"/>
    <x v="3"/>
    <x v="1"/>
    <x v="25"/>
  </r>
  <r>
    <x v="977"/>
    <x v="251"/>
    <x v="710"/>
    <x v="1"/>
    <x v="2"/>
    <x v="5"/>
    <x v="1"/>
    <x v="361"/>
    <x v="749"/>
    <x v="85"/>
    <x v="709"/>
    <x v="2"/>
    <x v="2"/>
    <x v="81"/>
  </r>
  <r>
    <x v="978"/>
    <x v="311"/>
    <x v="711"/>
    <x v="1"/>
    <x v="2"/>
    <x v="12"/>
    <x v="4"/>
    <x v="27"/>
    <x v="27"/>
    <x v="692"/>
    <x v="329"/>
    <x v="0"/>
    <x v="0"/>
    <x v="71"/>
  </r>
  <r>
    <x v="979"/>
    <x v="7"/>
    <x v="712"/>
    <x v="4"/>
    <x v="2"/>
    <x v="2"/>
    <x v="1"/>
    <x v="141"/>
    <x v="597"/>
    <x v="765"/>
    <x v="710"/>
    <x v="2"/>
    <x v="0"/>
    <x v="20"/>
  </r>
  <r>
    <x v="980"/>
    <x v="241"/>
    <x v="713"/>
    <x v="3"/>
    <x v="2"/>
    <x v="2"/>
    <x v="0"/>
    <x v="467"/>
    <x v="750"/>
    <x v="766"/>
    <x v="711"/>
    <x v="1"/>
    <x v="2"/>
    <x v="1"/>
  </r>
  <r>
    <x v="981"/>
    <x v="303"/>
    <x v="714"/>
    <x v="3"/>
    <x v="2"/>
    <x v="2"/>
    <x v="4"/>
    <x v="104"/>
    <x v="751"/>
    <x v="453"/>
    <x v="712"/>
    <x v="2"/>
    <x v="0"/>
    <x v="46"/>
  </r>
  <r>
    <x v="982"/>
    <x v="335"/>
    <x v="610"/>
    <x v="2"/>
    <x v="2"/>
    <x v="5"/>
    <x v="0"/>
    <x v="198"/>
    <x v="226"/>
    <x v="724"/>
    <x v="667"/>
    <x v="2"/>
    <x v="0"/>
    <x v="31"/>
  </r>
  <r>
    <x v="983"/>
    <x v="271"/>
    <x v="715"/>
    <x v="4"/>
    <x v="0"/>
    <x v="0"/>
    <x v="4"/>
    <x v="231"/>
    <x v="752"/>
    <x v="694"/>
    <x v="42"/>
    <x v="3"/>
    <x v="0"/>
    <x v="57"/>
  </r>
  <r>
    <x v="984"/>
    <x v="227"/>
    <x v="390"/>
    <x v="1"/>
    <x v="1"/>
    <x v="10"/>
    <x v="3"/>
    <x v="472"/>
    <x v="753"/>
    <x v="456"/>
    <x v="402"/>
    <x v="2"/>
    <x v="0"/>
    <x v="67"/>
  </r>
  <r>
    <x v="985"/>
    <x v="288"/>
    <x v="716"/>
    <x v="1"/>
    <x v="2"/>
    <x v="12"/>
    <x v="1"/>
    <x v="6"/>
    <x v="684"/>
    <x v="328"/>
    <x v="150"/>
    <x v="2"/>
    <x v="2"/>
    <x v="54"/>
  </r>
  <r>
    <x v="986"/>
    <x v="175"/>
    <x v="717"/>
    <x v="4"/>
    <x v="0"/>
    <x v="3"/>
    <x v="1"/>
    <x v="76"/>
    <x v="93"/>
    <x v="767"/>
    <x v="713"/>
    <x v="3"/>
    <x v="0"/>
    <x v="49"/>
  </r>
  <r>
    <x v="987"/>
    <x v="318"/>
    <x v="718"/>
    <x v="1"/>
    <x v="3"/>
    <x v="7"/>
    <x v="0"/>
    <x v="226"/>
    <x v="754"/>
    <x v="768"/>
    <x v="714"/>
    <x v="2"/>
    <x v="2"/>
    <x v="46"/>
  </r>
  <r>
    <x v="988"/>
    <x v="320"/>
    <x v="719"/>
    <x v="1"/>
    <x v="1"/>
    <x v="10"/>
    <x v="2"/>
    <x v="197"/>
    <x v="225"/>
    <x v="376"/>
    <x v="264"/>
    <x v="3"/>
    <x v="1"/>
    <x v="77"/>
  </r>
  <r>
    <x v="989"/>
    <x v="262"/>
    <x v="536"/>
    <x v="0"/>
    <x v="2"/>
    <x v="4"/>
    <x v="2"/>
    <x v="191"/>
    <x v="217"/>
    <x v="382"/>
    <x v="514"/>
    <x v="2"/>
    <x v="1"/>
    <x v="38"/>
  </r>
  <r>
    <x v="990"/>
    <x v="339"/>
    <x v="720"/>
    <x v="1"/>
    <x v="2"/>
    <x v="11"/>
    <x v="1"/>
    <x v="222"/>
    <x v="264"/>
    <x v="254"/>
    <x v="715"/>
    <x v="1"/>
    <x v="2"/>
    <x v="93"/>
  </r>
  <r>
    <x v="991"/>
    <x v="213"/>
    <x v="213"/>
    <x v="2"/>
    <x v="3"/>
    <x v="8"/>
    <x v="1"/>
    <x v="302"/>
    <x v="755"/>
    <x v="769"/>
    <x v="124"/>
    <x v="1"/>
    <x v="0"/>
    <x v="41"/>
  </r>
  <r>
    <x v="992"/>
    <x v="200"/>
    <x v="721"/>
    <x v="2"/>
    <x v="2"/>
    <x v="5"/>
    <x v="3"/>
    <x v="353"/>
    <x v="756"/>
    <x v="770"/>
    <x v="716"/>
    <x v="3"/>
    <x v="2"/>
    <x v="25"/>
  </r>
  <r>
    <x v="993"/>
    <x v="295"/>
    <x v="722"/>
    <x v="4"/>
    <x v="0"/>
    <x v="13"/>
    <x v="4"/>
    <x v="473"/>
    <x v="386"/>
    <x v="15"/>
    <x v="221"/>
    <x v="3"/>
    <x v="0"/>
    <x v="43"/>
  </r>
  <r>
    <x v="994"/>
    <x v="340"/>
    <x v="243"/>
    <x v="1"/>
    <x v="3"/>
    <x v="9"/>
    <x v="2"/>
    <x v="396"/>
    <x v="757"/>
    <x v="188"/>
    <x v="260"/>
    <x v="2"/>
    <x v="0"/>
    <x v="92"/>
  </r>
  <r>
    <x v="995"/>
    <x v="277"/>
    <x v="723"/>
    <x v="1"/>
    <x v="0"/>
    <x v="0"/>
    <x v="3"/>
    <x v="64"/>
    <x v="447"/>
    <x v="652"/>
    <x v="717"/>
    <x v="2"/>
    <x v="1"/>
    <x v="49"/>
  </r>
  <r>
    <x v="996"/>
    <x v="234"/>
    <x v="601"/>
    <x v="3"/>
    <x v="0"/>
    <x v="13"/>
    <x v="4"/>
    <x v="455"/>
    <x v="704"/>
    <x v="771"/>
    <x v="434"/>
    <x v="0"/>
    <x v="0"/>
    <x v="19"/>
  </r>
  <r>
    <x v="997"/>
    <x v="21"/>
    <x v="724"/>
    <x v="3"/>
    <x v="2"/>
    <x v="2"/>
    <x v="2"/>
    <x v="261"/>
    <x v="369"/>
    <x v="772"/>
    <x v="338"/>
    <x v="3"/>
    <x v="2"/>
    <x v="39"/>
  </r>
  <r>
    <x v="998"/>
    <x v="140"/>
    <x v="322"/>
    <x v="3"/>
    <x v="3"/>
    <x v="8"/>
    <x v="3"/>
    <x v="174"/>
    <x v="199"/>
    <x v="773"/>
    <x v="718"/>
    <x v="2"/>
    <x v="1"/>
    <x v="68"/>
  </r>
  <r>
    <x v="999"/>
    <x v="5"/>
    <x v="725"/>
    <x v="1"/>
    <x v="2"/>
    <x v="12"/>
    <x v="2"/>
    <x v="166"/>
    <x v="758"/>
    <x v="585"/>
    <x v="719"/>
    <x v="1"/>
    <x v="2"/>
    <x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>
  <location ref="G4:H10" firstHeaderRow="1" firstDataRow="1" firstDataCol="1"/>
  <pivotFields count="14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/>
    <pivotField compact="0" showAll="0"/>
    <pivotField compact="0" showAll="0">
      <items count="6">
        <item x="4"/>
        <item x="1"/>
        <item x="2"/>
        <item x="3"/>
        <item x="0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axis="axisRow" measureFilter="1" compact="0" showAll="0">
      <items count="16">
        <item x="11"/>
        <item x="10"/>
        <item x="9"/>
        <item x="1"/>
        <item x="4"/>
        <item x="7"/>
        <item x="0"/>
        <item x="6"/>
        <item x="5"/>
        <item x="3"/>
        <item x="8"/>
        <item x="13"/>
        <item x="2"/>
        <item x="12"/>
        <item x="14"/>
        <item t="default"/>
      </items>
    </pivotField>
    <pivotField dataField="1" compact="0" showAll="0">
      <items count="6">
        <item x="2"/>
        <item x="3"/>
        <item x="1"/>
        <item x="4"/>
        <item x="0"/>
        <item t="default"/>
      </items>
    </pivotField>
    <pivotField compact="0" showAll="0"/>
    <pivotField compact="0" showAll="0">
      <items count="760">
        <item x="727"/>
        <item x="538"/>
        <item x="730"/>
        <item x="81"/>
        <item x="628"/>
        <item x="36"/>
        <item x="193"/>
        <item x="175"/>
        <item x="732"/>
        <item x="461"/>
        <item x="651"/>
        <item x="74"/>
        <item x="638"/>
        <item x="6"/>
        <item x="362"/>
        <item x="708"/>
        <item x="518"/>
        <item x="571"/>
        <item x="536"/>
        <item x="740"/>
        <item x="374"/>
        <item x="354"/>
        <item x="552"/>
        <item x="268"/>
        <item x="658"/>
        <item x="560"/>
        <item x="558"/>
        <item x="721"/>
        <item x="548"/>
        <item x="384"/>
        <item x="635"/>
        <item x="188"/>
        <item x="273"/>
        <item x="640"/>
        <item x="229"/>
        <item x="46"/>
        <item x="28"/>
        <item x="290"/>
        <item x="340"/>
        <item x="165"/>
        <item x="244"/>
        <item x="176"/>
        <item x="129"/>
        <item x="711"/>
        <item x="125"/>
        <item x="557"/>
        <item x="194"/>
        <item x="529"/>
        <item x="642"/>
        <item x="504"/>
        <item x="104"/>
        <item x="5"/>
        <item x="486"/>
        <item x="574"/>
        <item x="382"/>
        <item x="525"/>
        <item x="724"/>
        <item x="254"/>
        <item x="592"/>
        <item x="698"/>
        <item x="736"/>
        <item x="688"/>
        <item x="445"/>
        <item x="225"/>
        <item x="580"/>
        <item x="421"/>
        <item x="615"/>
        <item x="581"/>
        <item x="393"/>
        <item x="746"/>
        <item x="701"/>
        <item x="741"/>
        <item x="649"/>
        <item x="55"/>
        <item x="328"/>
        <item x="748"/>
        <item x="113"/>
        <item x="283"/>
        <item x="43"/>
        <item x="744"/>
        <item x="397"/>
        <item x="102"/>
        <item x="572"/>
        <item x="391"/>
        <item x="52"/>
        <item x="706"/>
        <item x="535"/>
        <item x="339"/>
        <item x="180"/>
        <item x="187"/>
        <item x="639"/>
        <item x="119"/>
        <item x="213"/>
        <item x="621"/>
        <item x="65"/>
        <item x="539"/>
        <item x="662"/>
        <item x="94"/>
        <item x="66"/>
        <item x="378"/>
        <item x="9"/>
        <item x="154"/>
        <item x="396"/>
        <item x="369"/>
        <item x="494"/>
        <item x="228"/>
        <item x="429"/>
        <item x="256"/>
        <item x="51"/>
        <item x="566"/>
        <item x="116"/>
        <item x="377"/>
        <item x="140"/>
        <item x="12"/>
        <item x="245"/>
        <item x="404"/>
        <item x="270"/>
        <item x="138"/>
        <item x="251"/>
        <item x="553"/>
        <item x="530"/>
        <item x="379"/>
        <item x="257"/>
        <item x="671"/>
        <item x="511"/>
        <item x="192"/>
        <item x="389"/>
        <item x="183"/>
        <item x="48"/>
        <item x="21"/>
        <item x="363"/>
        <item x="217"/>
        <item x="666"/>
        <item x="492"/>
        <item x="381"/>
        <item x="475"/>
        <item x="29"/>
        <item x="276"/>
        <item x="579"/>
        <item x="650"/>
        <item x="196"/>
        <item x="100"/>
        <item x="582"/>
        <item x="346"/>
        <item x="388"/>
        <item x="96"/>
        <item x="300"/>
        <item x="705"/>
        <item x="540"/>
        <item x="654"/>
        <item x="513"/>
        <item x="95"/>
        <item x="427"/>
        <item x="333"/>
        <item x="210"/>
        <item x="190"/>
        <item x="758"/>
        <item x="141"/>
        <item x="499"/>
        <item x="207"/>
        <item x="249"/>
        <item x="570"/>
        <item x="312"/>
        <item x="324"/>
        <item x="647"/>
        <item x="304"/>
        <item x="17"/>
        <item x="480"/>
        <item x="457"/>
        <item x="585"/>
        <item x="501"/>
        <item x="514"/>
        <item x="157"/>
        <item x="280"/>
        <item x="648"/>
        <item x="334"/>
        <item x="170"/>
        <item x="476"/>
        <item x="361"/>
        <item x="509"/>
        <item x="262"/>
        <item x="93"/>
        <item x="757"/>
        <item x="286"/>
        <item x="31"/>
        <item x="82"/>
        <item x="410"/>
        <item x="401"/>
        <item x="368"/>
        <item x="166"/>
        <item x="299"/>
        <item x="201"/>
        <item x="57"/>
        <item x="426"/>
        <item x="683"/>
        <item x="39"/>
        <item x="329"/>
        <item x="498"/>
        <item x="23"/>
        <item x="714"/>
        <item x="342"/>
        <item x="294"/>
        <item x="127"/>
        <item x="675"/>
        <item x="124"/>
        <item x="160"/>
        <item x="408"/>
        <item x="469"/>
        <item x="728"/>
        <item x="528"/>
        <item x="738"/>
        <item x="184"/>
        <item x="223"/>
        <item x="681"/>
        <item x="306"/>
        <item x="619"/>
        <item x="551"/>
        <item x="258"/>
        <item x="364"/>
        <item x="453"/>
        <item x="171"/>
        <item x="462"/>
        <item x="684"/>
        <item x="471"/>
        <item x="573"/>
        <item x="237"/>
        <item x="755"/>
        <item x="718"/>
        <item x="347"/>
        <item x="151"/>
        <item x="181"/>
        <item x="203"/>
        <item x="260"/>
        <item x="200"/>
        <item x="327"/>
        <item x="263"/>
        <item x="275"/>
        <item x="456"/>
        <item x="79"/>
        <item x="169"/>
        <item x="287"/>
        <item x="437"/>
        <item x="411"/>
        <item x="358"/>
        <item x="424"/>
        <item x="282"/>
        <item x="266"/>
        <item x="484"/>
        <item x="85"/>
        <item x="344"/>
        <item x="454"/>
        <item x="239"/>
        <item x="680"/>
        <item x="83"/>
        <item x="284"/>
        <item x="137"/>
        <item x="446"/>
        <item x="134"/>
        <item x="70"/>
        <item x="466"/>
        <item x="704"/>
        <item x="604"/>
        <item x="63"/>
        <item x="84"/>
        <item x="664"/>
        <item x="726"/>
        <item x="76"/>
        <item x="243"/>
        <item x="546"/>
        <item x="689"/>
        <item x="390"/>
        <item x="412"/>
        <item x="27"/>
        <item x="297"/>
        <item x="149"/>
        <item x="512"/>
        <item x="32"/>
        <item x="586"/>
        <item x="2"/>
        <item x="700"/>
        <item x="451"/>
        <item x="660"/>
        <item x="569"/>
        <item x="216"/>
        <item x="674"/>
        <item x="743"/>
        <item x="605"/>
        <item x="338"/>
        <item x="315"/>
        <item x="182"/>
        <item x="612"/>
        <item x="526"/>
        <item x="331"/>
        <item x="147"/>
        <item x="380"/>
        <item x="418"/>
        <item x="631"/>
        <item x="614"/>
        <item x="240"/>
        <item x="308"/>
        <item x="353"/>
        <item x="110"/>
        <item x="271"/>
        <item x="517"/>
        <item x="11"/>
        <item x="281"/>
        <item x="477"/>
        <item x="496"/>
        <item x="482"/>
        <item x="568"/>
        <item x="250"/>
        <item x="395"/>
        <item x="161"/>
        <item x="349"/>
        <item x="387"/>
        <item x="419"/>
        <item x="729"/>
        <item x="415"/>
        <item x="56"/>
        <item x="341"/>
        <item x="155"/>
        <item x="335"/>
        <item x="144"/>
        <item x="590"/>
        <item x="468"/>
        <item x="622"/>
        <item x="92"/>
        <item x="507"/>
        <item x="533"/>
        <item x="686"/>
        <item x="150"/>
        <item x="610"/>
        <item x="185"/>
        <item x="173"/>
        <item x="633"/>
        <item x="491"/>
        <item x="115"/>
        <item x="371"/>
        <item x="682"/>
        <item x="563"/>
        <item x="337"/>
        <item x="753"/>
        <item x="567"/>
        <item x="146"/>
        <item x="722"/>
        <item x="195"/>
        <item x="406"/>
        <item x="519"/>
        <item x="576"/>
        <item x="629"/>
        <item x="15"/>
        <item x="139"/>
        <item x="355"/>
        <item x="121"/>
        <item x="510"/>
        <item x="71"/>
        <item x="699"/>
        <item x="549"/>
        <item x="607"/>
        <item x="211"/>
        <item x="199"/>
        <item x="399"/>
        <item x="669"/>
        <item x="719"/>
        <item x="532"/>
        <item x="0"/>
        <item x="392"/>
        <item x="645"/>
        <item x="295"/>
        <item x="247"/>
        <item x="634"/>
        <item x="707"/>
        <item x="67"/>
        <item x="383"/>
        <item x="439"/>
        <item x="597"/>
        <item x="54"/>
        <item x="30"/>
        <item x="594"/>
        <item x="372"/>
        <item x="22"/>
        <item x="676"/>
        <item x="330"/>
        <item x="523"/>
        <item x="430"/>
        <item x="158"/>
        <item x="205"/>
        <item x="643"/>
        <item x="646"/>
        <item x="376"/>
        <item x="655"/>
        <item x="386"/>
        <item x="712"/>
        <item x="164"/>
        <item x="447"/>
        <item x="16"/>
        <item x="756"/>
        <item x="261"/>
        <item x="14"/>
        <item x="8"/>
        <item x="80"/>
        <item x="97"/>
        <item x="60"/>
        <item x="394"/>
        <item x="505"/>
        <item x="90"/>
        <item x="45"/>
        <item x="561"/>
        <item x="89"/>
        <item x="13"/>
        <item x="105"/>
        <item x="293"/>
        <item x="734"/>
        <item x="62"/>
        <item x="433"/>
        <item x="474"/>
        <item x="148"/>
        <item x="253"/>
        <item x="224"/>
        <item x="348"/>
        <item x="359"/>
        <item x="595"/>
        <item x="516"/>
        <item x="313"/>
        <item x="296"/>
        <item x="656"/>
        <item x="98"/>
        <item x="575"/>
        <item x="565"/>
        <item x="18"/>
        <item x="88"/>
        <item x="135"/>
        <item x="422"/>
        <item x="214"/>
        <item x="246"/>
        <item x="109"/>
        <item x="495"/>
        <item x="747"/>
        <item x="485"/>
        <item x="434"/>
        <item x="441"/>
        <item x="234"/>
        <item x="613"/>
        <item x="236"/>
        <item x="40"/>
        <item x="460"/>
        <item x="679"/>
        <item x="202"/>
        <item x="450"/>
        <item x="242"/>
        <item x="163"/>
        <item x="314"/>
        <item x="318"/>
        <item x="587"/>
        <item x="473"/>
        <item x="99"/>
        <item x="416"/>
        <item x="481"/>
        <item x="524"/>
        <item x="132"/>
        <item x="19"/>
        <item x="443"/>
        <item x="742"/>
        <item x="143"/>
        <item x="703"/>
        <item x="279"/>
        <item x="153"/>
        <item x="467"/>
        <item x="463"/>
        <item x="370"/>
        <item x="357"/>
        <item x="603"/>
        <item x="678"/>
        <item x="321"/>
        <item x="3"/>
        <item x="1"/>
        <item x="53"/>
        <item x="126"/>
        <item x="241"/>
        <item x="38"/>
        <item x="307"/>
        <item x="219"/>
        <item x="723"/>
        <item x="311"/>
        <item x="465"/>
        <item x="432"/>
        <item x="487"/>
        <item x="305"/>
        <item x="632"/>
        <item x="420"/>
        <item x="343"/>
        <item x="118"/>
        <item x="577"/>
        <item x="252"/>
        <item x="145"/>
        <item x="497"/>
        <item x="272"/>
        <item x="625"/>
        <item x="20"/>
        <item x="298"/>
        <item x="403"/>
        <item x="69"/>
        <item x="444"/>
        <item x="637"/>
        <item x="483"/>
        <item x="326"/>
        <item x="670"/>
        <item x="218"/>
        <item x="428"/>
        <item x="449"/>
        <item x="506"/>
        <item x="543"/>
        <item x="672"/>
        <item x="177"/>
        <item x="59"/>
        <item x="584"/>
        <item x="222"/>
        <item x="717"/>
        <item x="269"/>
        <item x="697"/>
        <item x="73"/>
        <item x="289"/>
        <item x="490"/>
        <item x="503"/>
        <item x="44"/>
        <item x="534"/>
        <item x="267"/>
        <item x="231"/>
        <item x="550"/>
        <item x="366"/>
        <item x="230"/>
        <item x="108"/>
        <item x="425"/>
        <item x="593"/>
        <item x="375"/>
        <item x="25"/>
        <item x="277"/>
        <item x="616"/>
        <item x="75"/>
        <item x="316"/>
        <item x="737"/>
        <item x="319"/>
        <item x="713"/>
        <item x="255"/>
        <item x="103"/>
        <item x="323"/>
        <item x="189"/>
        <item x="42"/>
        <item x="661"/>
        <item x="488"/>
        <item x="179"/>
        <item x="47"/>
        <item x="232"/>
        <item x="440"/>
        <item x="152"/>
        <item x="710"/>
        <item x="659"/>
        <item x="620"/>
        <item x="409"/>
        <item x="87"/>
        <item x="112"/>
        <item x="694"/>
        <item x="715"/>
        <item x="303"/>
        <item x="562"/>
        <item x="623"/>
        <item x="601"/>
        <item x="749"/>
        <item x="221"/>
        <item x="206"/>
        <item x="541"/>
        <item x="544"/>
        <item x="24"/>
        <item x="508"/>
        <item x="34"/>
        <item x="352"/>
        <item x="641"/>
        <item x="345"/>
        <item x="702"/>
        <item x="464"/>
        <item x="208"/>
        <item x="174"/>
        <item x="332"/>
        <item x="301"/>
        <item x="618"/>
        <item x="739"/>
        <item x="264"/>
        <item x="41"/>
        <item x="588"/>
        <item x="624"/>
        <item x="336"/>
        <item x="198"/>
        <item x="61"/>
        <item x="49"/>
        <item x="630"/>
        <item x="405"/>
        <item x="91"/>
        <item x="317"/>
        <item x="693"/>
        <item x="50"/>
        <item x="259"/>
        <item x="178"/>
        <item x="309"/>
        <item x="720"/>
        <item x="156"/>
        <item x="162"/>
        <item x="556"/>
        <item x="310"/>
        <item x="204"/>
        <item x="657"/>
        <item x="186"/>
        <item x="545"/>
        <item x="191"/>
        <item x="589"/>
        <item x="600"/>
        <item x="233"/>
        <item x="472"/>
        <item x="58"/>
        <item x="285"/>
        <item x="238"/>
        <item x="167"/>
        <item x="122"/>
        <item x="493"/>
        <item x="77"/>
        <item x="685"/>
        <item x="690"/>
        <item x="479"/>
        <item x="602"/>
        <item x="123"/>
        <item x="227"/>
        <item x="591"/>
        <item x="448"/>
        <item x="322"/>
        <item x="636"/>
        <item x="235"/>
        <item x="692"/>
        <item x="752"/>
        <item x="128"/>
        <item x="438"/>
        <item x="531"/>
        <item x="64"/>
        <item x="367"/>
        <item x="583"/>
        <item x="564"/>
        <item x="455"/>
        <item x="320"/>
        <item x="611"/>
        <item x="745"/>
        <item x="417"/>
        <item x="325"/>
        <item x="278"/>
        <item x="212"/>
        <item x="559"/>
        <item x="452"/>
        <item x="423"/>
        <item x="274"/>
        <item x="172"/>
        <item x="72"/>
        <item x="696"/>
        <item x="458"/>
        <item x="665"/>
        <item x="400"/>
        <item x="609"/>
        <item x="627"/>
        <item x="142"/>
        <item x="435"/>
        <item x="687"/>
        <item x="209"/>
        <item x="663"/>
        <item x="136"/>
        <item x="291"/>
        <item x="652"/>
        <item x="402"/>
        <item x="733"/>
        <item x="33"/>
        <item x="667"/>
        <item x="248"/>
        <item x="751"/>
        <item x="413"/>
        <item x="527"/>
        <item x="735"/>
        <item x="691"/>
        <item x="350"/>
        <item x="111"/>
        <item x="677"/>
        <item x="265"/>
        <item x="542"/>
        <item x="7"/>
        <item x="302"/>
        <item x="107"/>
        <item x="555"/>
        <item x="288"/>
        <item x="470"/>
        <item x="68"/>
        <item x="709"/>
        <item x="385"/>
        <item x="168"/>
        <item x="547"/>
        <item x="398"/>
        <item x="653"/>
        <item x="117"/>
        <item x="360"/>
        <item x="731"/>
        <item x="351"/>
        <item x="114"/>
        <item x="515"/>
        <item x="35"/>
        <item x="626"/>
        <item x="554"/>
        <item x="695"/>
        <item x="10"/>
        <item x="159"/>
        <item x="120"/>
        <item x="500"/>
        <item x="101"/>
        <item x="578"/>
        <item x="598"/>
        <item x="668"/>
        <item x="365"/>
        <item x="673"/>
        <item x="608"/>
        <item x="407"/>
        <item x="617"/>
        <item x="442"/>
        <item x="414"/>
        <item x="4"/>
        <item x="754"/>
        <item x="292"/>
        <item x="26"/>
        <item x="521"/>
        <item x="37"/>
        <item x="226"/>
        <item x="78"/>
        <item x="356"/>
        <item x="596"/>
        <item x="86"/>
        <item x="522"/>
        <item x="725"/>
        <item x="197"/>
        <item x="215"/>
        <item x="537"/>
        <item x="489"/>
        <item x="750"/>
        <item x="478"/>
        <item x="520"/>
        <item x="131"/>
        <item x="606"/>
        <item x="599"/>
        <item x="106"/>
        <item x="373"/>
        <item x="431"/>
        <item x="436"/>
        <item x="133"/>
        <item x="502"/>
        <item x="644"/>
        <item x="716"/>
        <item x="459"/>
        <item x="220"/>
        <item x="130"/>
        <item t="default"/>
      </items>
    </pivotField>
    <pivotField compact="0" showAll="0"/>
    <pivotField compact="0" showAll="0">
      <items count="721">
        <item x="36"/>
        <item x="689"/>
        <item x="616"/>
        <item x="345"/>
        <item x="435"/>
        <item x="454"/>
        <item x="520"/>
        <item x="490"/>
        <item x="693"/>
        <item x="6"/>
        <item x="182"/>
        <item x="72"/>
        <item x="292"/>
        <item x="79"/>
        <item x="597"/>
        <item x="220"/>
        <item x="119"/>
        <item x="545"/>
        <item x="530"/>
        <item x="691"/>
        <item x="270"/>
        <item x="337"/>
        <item x="151"/>
        <item x="668"/>
        <item x="162"/>
        <item x="272"/>
        <item x="525"/>
        <item x="176"/>
        <item x="684"/>
        <item x="535"/>
        <item x="600"/>
        <item x="547"/>
        <item x="504"/>
        <item x="390"/>
        <item x="258"/>
        <item x="661"/>
        <item x="105"/>
        <item x="708"/>
        <item x="621"/>
        <item x="52"/>
        <item x="174"/>
        <item x="357"/>
        <item x="116"/>
        <item x="327"/>
        <item x="681"/>
        <item x="218"/>
        <item x="369"/>
        <item x="129"/>
        <item x="91"/>
        <item x="167"/>
        <item x="578"/>
        <item x="65"/>
        <item x="465"/>
        <item x="5"/>
        <item x="46"/>
        <item x="28"/>
        <item x="540"/>
        <item x="274"/>
        <item x="215"/>
        <item x="234"/>
        <item x="476"/>
        <item x="142"/>
        <item x="602"/>
        <item x="358"/>
        <item x="263"/>
        <item x="264"/>
        <item x="235"/>
        <item x="163"/>
        <item x="314"/>
        <item x="449"/>
        <item x="612"/>
        <item x="655"/>
        <item x="319"/>
        <item x="367"/>
        <item x="338"/>
        <item x="697"/>
        <item x="295"/>
        <item x="43"/>
        <item x="183"/>
        <item x="21"/>
        <item x="365"/>
        <item x="629"/>
        <item x="652"/>
        <item x="713"/>
        <item x="377"/>
        <item x="12"/>
        <item x="618"/>
        <item x="189"/>
        <item x="702"/>
        <item x="175"/>
        <item x="219"/>
        <item x="633"/>
        <item x="649"/>
        <item x="9"/>
        <item x="355"/>
        <item x="202"/>
        <item x="376"/>
        <item x="55"/>
        <item x="180"/>
        <item x="291"/>
        <item x="31"/>
        <item x="51"/>
        <item x="156"/>
        <item x="181"/>
        <item x="521"/>
        <item x="613"/>
        <item x="706"/>
        <item x="481"/>
        <item x="469"/>
        <item x="197"/>
        <item x="346"/>
        <item x="679"/>
        <item x="144"/>
        <item x="671"/>
        <item x="23"/>
        <item x="351"/>
        <item x="457"/>
        <item x="632"/>
        <item x="506"/>
        <item x="107"/>
        <item x="57"/>
        <item x="436"/>
        <item x="260"/>
        <item x="514"/>
        <item x="446"/>
        <item x="29"/>
        <item x="642"/>
        <item x="586"/>
        <item x="601"/>
        <item x="287"/>
        <item x="247"/>
        <item x="348"/>
        <item x="184"/>
        <item x="499"/>
        <item x="66"/>
        <item x="171"/>
        <item x="239"/>
        <item x="445"/>
        <item x="650"/>
        <item x="519"/>
        <item x="246"/>
        <item x="396"/>
        <item x="664"/>
        <item x="486"/>
        <item x="254"/>
        <item x="170"/>
        <item x="362"/>
        <item x="379"/>
        <item x="48"/>
        <item x="429"/>
        <item x="242"/>
        <item x="139"/>
        <item x="471"/>
        <item x="719"/>
        <item x="614"/>
        <item x="74"/>
        <item x="498"/>
        <item x="591"/>
        <item x="394"/>
        <item x="639"/>
        <item x="236"/>
        <item x="39"/>
        <item x="117"/>
        <item x="253"/>
        <item x="304"/>
        <item x="605"/>
        <item x="609"/>
        <item x="628"/>
        <item x="434"/>
        <item x="625"/>
        <item x="178"/>
        <item x="323"/>
        <item x="676"/>
        <item x="152"/>
        <item x="209"/>
        <item x="80"/>
        <item x="17"/>
        <item x="155"/>
        <item x="593"/>
        <item x="478"/>
        <item x="92"/>
        <item x="81"/>
        <item x="641"/>
        <item x="248"/>
        <item x="90"/>
        <item x="507"/>
        <item x="130"/>
        <item x="343"/>
        <item x="273"/>
        <item x="687"/>
        <item x="417"/>
        <item x="27"/>
        <item x="306"/>
        <item x="146"/>
        <item x="539"/>
        <item x="487"/>
        <item x="124"/>
        <item x="333"/>
        <item x="363"/>
        <item x="450"/>
        <item x="277"/>
        <item x="278"/>
        <item x="443"/>
        <item x="271"/>
        <item x="373"/>
        <item x="532"/>
        <item x="651"/>
        <item x="82"/>
        <item x="484"/>
        <item x="356"/>
        <item x="63"/>
        <item x="485"/>
        <item x="468"/>
        <item x="290"/>
        <item x="298"/>
        <item x="11"/>
        <item x="230"/>
        <item x="261"/>
        <item x="494"/>
        <item x="482"/>
        <item x="375"/>
        <item x="320"/>
        <item x="127"/>
        <item x="718"/>
        <item x="426"/>
        <item x="646"/>
        <item x="405"/>
        <item x="0"/>
        <item x="192"/>
        <item x="288"/>
        <item x="115"/>
        <item x="147"/>
        <item x="690"/>
        <item x="77"/>
        <item x="553"/>
        <item x="168"/>
        <item x="150"/>
        <item x="322"/>
        <item x="636"/>
        <item x="317"/>
        <item x="56"/>
        <item x="240"/>
        <item x="237"/>
        <item x="86"/>
        <item x="400"/>
        <item x="313"/>
        <item x="401"/>
        <item x="69"/>
        <item x="158"/>
        <item x="188"/>
        <item x="698"/>
        <item x="213"/>
        <item x="384"/>
        <item x="157"/>
        <item x="200"/>
        <item x="562"/>
        <item x="453"/>
        <item x="424"/>
        <item x="251"/>
        <item x="644"/>
        <item x="489"/>
        <item x="89"/>
        <item x="227"/>
        <item x="228"/>
        <item x="596"/>
        <item x="575"/>
        <item x="473"/>
        <item x="680"/>
        <item x="30"/>
        <item x="410"/>
        <item x="191"/>
        <item x="8"/>
        <item x="517"/>
        <item x="383"/>
        <item x="125"/>
        <item x="94"/>
        <item x="643"/>
        <item x="441"/>
        <item x="389"/>
        <item x="371"/>
        <item x="427"/>
        <item x="205"/>
        <item x="710"/>
        <item x="331"/>
        <item x="716"/>
        <item x="18"/>
        <item x="78"/>
        <item x="607"/>
        <item x="325"/>
        <item x="557"/>
        <item x="603"/>
        <item x="364"/>
        <item x="515"/>
        <item x="109"/>
        <item x="14"/>
        <item x="380"/>
        <item x="574"/>
        <item x="169"/>
        <item x="45"/>
        <item x="513"/>
        <item x="137"/>
        <item x="439"/>
        <item x="437"/>
        <item x="340"/>
        <item x="97"/>
        <item x="233"/>
        <item x="87"/>
        <item x="585"/>
        <item x="329"/>
        <item x="203"/>
        <item x="344"/>
        <item x="265"/>
        <item x="360"/>
        <item x="448"/>
        <item x="301"/>
        <item x="701"/>
        <item x="60"/>
        <item x="496"/>
        <item x="407"/>
        <item x="208"/>
        <item x="526"/>
        <item x="133"/>
        <item x="677"/>
        <item x="438"/>
        <item x="231"/>
        <item x="500"/>
        <item x="305"/>
        <item x="201"/>
        <item x="640"/>
        <item x="135"/>
        <item x="141"/>
        <item x="388"/>
        <item x="102"/>
        <item x="316"/>
        <item x="2"/>
        <item x="627"/>
        <item x="172"/>
        <item x="32"/>
        <item x="38"/>
        <item x="411"/>
        <item x="352"/>
        <item x="483"/>
        <item x="149"/>
        <item x="619"/>
        <item x="40"/>
        <item x="455"/>
        <item x="269"/>
        <item x="160"/>
        <item x="415"/>
        <item x="534"/>
        <item x="195"/>
        <item x="391"/>
        <item x="561"/>
        <item x="138"/>
        <item x="538"/>
        <item x="136"/>
        <item x="717"/>
        <item x="466"/>
        <item x="408"/>
        <item x="542"/>
        <item x="463"/>
        <item x="444"/>
        <item x="653"/>
        <item x="241"/>
        <item x="673"/>
        <item x="688"/>
        <item x="93"/>
        <item x="568"/>
        <item x="164"/>
        <item x="418"/>
        <item x="503"/>
        <item x="563"/>
        <item x="85"/>
        <item x="393"/>
        <item x="22"/>
        <item x="555"/>
        <item x="350"/>
        <item x="510"/>
        <item x="166"/>
        <item x="13"/>
        <item x="399"/>
        <item x="577"/>
        <item x="211"/>
        <item x="280"/>
        <item x="259"/>
        <item x="685"/>
        <item x="556"/>
        <item x="243"/>
        <item x="570"/>
        <item x="15"/>
        <item x="402"/>
        <item x="16"/>
        <item x="660"/>
        <item x="634"/>
        <item x="395"/>
        <item x="502"/>
        <item x="611"/>
        <item x="682"/>
        <item x="461"/>
        <item x="44"/>
        <item x="299"/>
        <item x="477"/>
        <item x="177"/>
        <item x="62"/>
        <item x="330"/>
        <item x="128"/>
        <item x="206"/>
        <item x="95"/>
        <item x="54"/>
        <item x="440"/>
        <item x="110"/>
        <item x="341"/>
        <item x="98"/>
        <item x="599"/>
        <item x="595"/>
        <item x="24"/>
        <item x="480"/>
        <item x="537"/>
        <item x="368"/>
        <item x="334"/>
        <item x="225"/>
        <item x="223"/>
        <item x="284"/>
        <item x="420"/>
        <item x="187"/>
        <item x="707"/>
        <item x="53"/>
        <item x="297"/>
        <item x="576"/>
        <item x="700"/>
        <item x="61"/>
        <item x="456"/>
        <item x="615"/>
        <item x="112"/>
        <item x="413"/>
        <item x="285"/>
        <item x="442"/>
        <item x="672"/>
        <item x="353"/>
        <item x="366"/>
        <item x="670"/>
        <item x="286"/>
        <item x="549"/>
        <item x="73"/>
        <item x="432"/>
        <item x="462"/>
        <item x="71"/>
        <item x="217"/>
        <item x="662"/>
        <item x="458"/>
        <item x="179"/>
        <item x="703"/>
        <item x="25"/>
        <item x="221"/>
        <item x="289"/>
        <item x="422"/>
        <item x="544"/>
        <item x="50"/>
        <item x="491"/>
        <item x="527"/>
        <item x="648"/>
        <item x="309"/>
        <item x="581"/>
        <item x="252"/>
        <item x="560"/>
        <item x="302"/>
        <item x="232"/>
        <item x="529"/>
        <item x="308"/>
        <item x="423"/>
        <item x="321"/>
        <item x="412"/>
        <item x="190"/>
        <item x="669"/>
        <item x="249"/>
        <item x="196"/>
        <item x="430"/>
        <item x="104"/>
        <item x="665"/>
        <item x="533"/>
        <item x="198"/>
        <item x="638"/>
        <item x="518"/>
        <item x="541"/>
        <item x="582"/>
        <item x="229"/>
        <item x="361"/>
        <item x="416"/>
        <item x="3"/>
        <item x="20"/>
        <item x="64"/>
        <item x="617"/>
        <item x="659"/>
        <item x="623"/>
        <item x="589"/>
        <item x="475"/>
        <item x="19"/>
        <item x="645"/>
        <item x="335"/>
        <item x="311"/>
        <item x="683"/>
        <item x="68"/>
        <item x="224"/>
        <item x="579"/>
        <item x="194"/>
        <item x="281"/>
        <item x="524"/>
        <item x="550"/>
        <item x="610"/>
        <item x="548"/>
        <item x="604"/>
        <item x="381"/>
        <item x="244"/>
        <item x="296"/>
        <item x="511"/>
        <item x="34"/>
        <item x="315"/>
        <item x="508"/>
        <item x="318"/>
        <item x="122"/>
        <item x="467"/>
        <item x="622"/>
        <item x="531"/>
        <item x="84"/>
        <item x="497"/>
        <item x="42"/>
        <item x="705"/>
        <item x="336"/>
        <item x="132"/>
        <item x="1"/>
        <item x="199"/>
        <item x="210"/>
        <item x="255"/>
        <item x="266"/>
        <item x="516"/>
        <item x="114"/>
        <item x="372"/>
        <item x="332"/>
        <item x="403"/>
        <item x="222"/>
        <item x="100"/>
        <item x="647"/>
        <item x="419"/>
        <item x="699"/>
        <item x="374"/>
        <item x="630"/>
        <item x="88"/>
        <item x="588"/>
        <item x="153"/>
        <item x="303"/>
        <item x="536"/>
        <item x="41"/>
        <item x="113"/>
        <item x="143"/>
        <item x="161"/>
        <item x="598"/>
        <item x="238"/>
        <item x="134"/>
        <item x="307"/>
        <item x="590"/>
        <item x="704"/>
        <item x="674"/>
        <item x="49"/>
        <item x="464"/>
        <item x="663"/>
        <item x="328"/>
        <item x="501"/>
        <item x="558"/>
        <item x="293"/>
        <item x="552"/>
        <item x="512"/>
        <item x="262"/>
        <item x="59"/>
        <item x="347"/>
        <item x="657"/>
        <item x="624"/>
        <item x="173"/>
        <item x="554"/>
        <item x="715"/>
        <item x="359"/>
        <item x="675"/>
        <item x="140"/>
        <item x="543"/>
        <item x="551"/>
        <item x="474"/>
        <item x="257"/>
        <item x="584"/>
        <item x="267"/>
        <item x="637"/>
        <item x="709"/>
        <item x="214"/>
        <item x="101"/>
        <item x="587"/>
        <item x="382"/>
        <item x="694"/>
        <item x="711"/>
        <item x="326"/>
        <item x="300"/>
        <item x="447"/>
        <item x="47"/>
        <item x="620"/>
        <item x="245"/>
        <item x="250"/>
        <item x="580"/>
        <item x="378"/>
        <item x="324"/>
        <item x="546"/>
        <item x="567"/>
        <item x="479"/>
        <item x="204"/>
        <item x="470"/>
        <item x="256"/>
        <item x="186"/>
        <item x="678"/>
        <item x="120"/>
        <item x="667"/>
        <item x="404"/>
        <item x="126"/>
        <item x="421"/>
        <item x="275"/>
        <item x="572"/>
        <item x="398"/>
        <item x="312"/>
        <item x="566"/>
        <item x="571"/>
        <item x="35"/>
        <item x="594"/>
        <item x="392"/>
        <item x="165"/>
        <item x="67"/>
        <item x="58"/>
        <item x="425"/>
        <item x="148"/>
        <item x="459"/>
        <item x="505"/>
        <item x="339"/>
        <item x="656"/>
        <item x="4"/>
        <item x="451"/>
        <item x="559"/>
        <item x="626"/>
        <item x="452"/>
        <item x="310"/>
        <item x="573"/>
        <item x="654"/>
        <item x="386"/>
        <item x="282"/>
        <item x="714"/>
        <item x="592"/>
        <item x="509"/>
        <item x="387"/>
        <item x="472"/>
        <item x="83"/>
        <item x="118"/>
        <item x="96"/>
        <item x="283"/>
        <item x="569"/>
        <item x="75"/>
        <item x="276"/>
        <item x="692"/>
        <item x="212"/>
        <item x="268"/>
        <item x="70"/>
        <item x="154"/>
        <item x="111"/>
        <item x="226"/>
        <item x="583"/>
        <item x="409"/>
        <item x="428"/>
        <item x="608"/>
        <item x="385"/>
        <item x="397"/>
        <item x="294"/>
        <item x="106"/>
        <item x="696"/>
        <item x="99"/>
        <item x="695"/>
        <item x="131"/>
        <item x="523"/>
        <item x="564"/>
        <item x="606"/>
        <item x="406"/>
        <item x="342"/>
        <item x="159"/>
        <item x="712"/>
        <item x="488"/>
        <item x="349"/>
        <item x="433"/>
        <item x="279"/>
        <item x="493"/>
        <item x="33"/>
        <item x="10"/>
        <item x="145"/>
        <item x="103"/>
        <item x="686"/>
        <item x="631"/>
        <item x="658"/>
        <item x="7"/>
        <item x="522"/>
        <item x="370"/>
        <item x="185"/>
        <item x="108"/>
        <item x="37"/>
        <item x="635"/>
        <item x="193"/>
        <item x="460"/>
        <item x="414"/>
        <item x="216"/>
        <item x="492"/>
        <item x="76"/>
        <item x="354"/>
        <item x="495"/>
        <item x="26"/>
        <item x="528"/>
        <item x="207"/>
        <item x="121"/>
        <item x="565"/>
        <item x="431"/>
        <item x="666"/>
        <item x="123"/>
        <item t="default"/>
      </items>
    </pivotField>
    <pivotField compact="0" showAll="0">
      <items count="5">
        <item x="0"/>
        <item x="3"/>
        <item x="1"/>
        <item x="2"/>
        <item t="default"/>
      </items>
    </pivotField>
    <pivotField compact="0" showAll="0"/>
    <pivotField compact="0" showAll="0"/>
  </pivotFields>
  <rowFields count="1">
    <field x="5"/>
  </rowFields>
  <rowItems count="6">
    <i>
      <x v="2"/>
    </i>
    <i>
      <x v="5"/>
    </i>
    <i>
      <x v="6"/>
    </i>
    <i>
      <x v="9"/>
    </i>
    <i>
      <x v="11"/>
    </i>
    <i t="grand">
      <x/>
    </i>
  </rowItems>
  <colItems count="1">
    <i/>
  </colItems>
  <dataFields count="1">
    <dataField name="Sum of Quantity_Sold" fld="6" baseField="0" baseItem="0"/>
  </dataFields>
  <formats count="15">
    <format dxfId="0">
      <pivotArea type="all" dataOnly="0" outline="0" fieldPosition="0"/>
    </format>
    <format dxfId="1">
      <pivotArea outline="0" collapsedLevelsAreSubtotals="1" fieldPosition="0"/>
    </format>
    <format dxfId="2">
      <pivotArea field="5" type="button" dataOnly="0" labelOnly="1" outline="0" fieldPosition="0"/>
    </format>
    <format dxfId="3">
      <pivotArea dataOnly="0" labelOnly="1" outline="0" fieldPosition="0"/>
    </format>
    <format dxfId="4">
      <pivotArea dataOnly="0" labelOnly="1" outline="0" fieldPosition="0">
        <references count="1">
          <reference field="5" count="5">
            <x v="2"/>
            <x v="5"/>
            <x v="6"/>
            <x v="9"/>
            <x v="11"/>
          </reference>
        </references>
      </pivotArea>
    </format>
    <format dxfId="5">
      <pivotArea dataOnly="0" labelOnly="1" grandRow="1" outline="0" fieldPosition="0"/>
    </format>
    <format dxfId="6">
      <pivotArea dataOnly="0" labelOnly="1" outline="0" fieldPosition="0"/>
    </format>
    <format dxfId="7">
      <pivotArea dataOnly="0" fieldPosition="0">
        <references count="1">
          <reference field="5" count="5">
            <x v="2"/>
            <x v="5"/>
            <x v="6"/>
            <x v="9"/>
            <x v="11"/>
          </reference>
        </references>
      </pivotArea>
    </format>
    <format dxfId="8">
      <pivotArea type="all" dataOnly="0" outline="0" fieldPosition="0"/>
    </format>
    <format dxfId="9">
      <pivotArea outline="0" collapsedLevelsAreSubtotals="1" fieldPosition="0"/>
    </format>
    <format dxfId="10">
      <pivotArea field="5" type="button" dataOnly="0" labelOnly="1" outline="0" fieldPosition="0"/>
    </format>
    <format dxfId="11">
      <pivotArea dataOnly="0" labelOnly="1" outline="0" fieldPosition="0"/>
    </format>
    <format dxfId="12">
      <pivotArea dataOnly="0" labelOnly="1" outline="0" fieldPosition="0">
        <references count="1">
          <reference field="5" count="5">
            <x v="2"/>
            <x v="5"/>
            <x v="6"/>
            <x v="9"/>
            <x v="11"/>
          </reference>
        </references>
      </pivotArea>
    </format>
    <format dxfId="13">
      <pivotArea dataOnly="0" labelOnly="1" grandRow="1" outline="0" fieldPosition="0"/>
    </format>
    <format dxfId="14">
      <pivotArea dataOnly="0" labelOnly="1" outline="0" fieldPosition="0"/>
    </format>
  </formats>
  <pivotTableStyleInfo name="PivotStyleLight16" showRowHeaders="1" showColHeaders="1" showLastColumn="1"/>
  <filters count="1">
    <filter evalOrder="-1" fld="5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 chartFormat="4">
  <location ref="D13:E19" firstHeaderRow="1" firstDataRow="1" firstDataCol="1"/>
  <pivotFields count="14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measureFilter="1" compact="0" showAll="0">
      <items count="342">
        <item x="20"/>
        <item x="247"/>
        <item x="204"/>
        <item x="340"/>
        <item x="245"/>
        <item x="295"/>
        <item x="157"/>
        <item x="269"/>
        <item x="97"/>
        <item x="256"/>
        <item x="136"/>
        <item x="167"/>
        <item x="160"/>
        <item x="262"/>
        <item x="215"/>
        <item x="249"/>
        <item x="264"/>
        <item x="234"/>
        <item x="59"/>
        <item x="33"/>
        <item x="41"/>
        <item x="265"/>
        <item x="267"/>
        <item x="118"/>
        <item x="99"/>
        <item x="21"/>
        <item x="243"/>
        <item x="105"/>
        <item x="73"/>
        <item x="18"/>
        <item x="24"/>
        <item x="71"/>
        <item x="178"/>
        <item x="209"/>
        <item x="122"/>
        <item x="9"/>
        <item x="69"/>
        <item x="46"/>
        <item x="334"/>
        <item x="307"/>
        <item x="108"/>
        <item x="175"/>
        <item x="141"/>
        <item x="45"/>
        <item x="297"/>
        <item x="211"/>
        <item x="159"/>
        <item x="336"/>
        <item x="219"/>
        <item x="331"/>
        <item x="61"/>
        <item x="51"/>
        <item x="338"/>
        <item x="231"/>
        <item x="257"/>
        <item x="251"/>
        <item x="230"/>
        <item x="273"/>
        <item x="197"/>
        <item x="95"/>
        <item x="327"/>
        <item x="248"/>
        <item x="53"/>
        <item x="315"/>
        <item x="313"/>
        <item x="241"/>
        <item x="270"/>
        <item x="126"/>
        <item x="173"/>
        <item x="56"/>
        <item x="282"/>
        <item x="181"/>
        <item x="174"/>
        <item x="186"/>
        <item x="12"/>
        <item x="192"/>
        <item x="43"/>
        <item x="200"/>
        <item x="220"/>
        <item x="67"/>
        <item x="68"/>
        <item x="226"/>
        <item x="116"/>
        <item x="222"/>
        <item x="323"/>
        <item x="170"/>
        <item x="109"/>
        <item x="224"/>
        <item x="255"/>
        <item x="324"/>
        <item x="83"/>
        <item x="58"/>
        <item x="103"/>
        <item x="238"/>
        <item x="202"/>
        <item x="4"/>
        <item x="25"/>
        <item x="63"/>
        <item x="75"/>
        <item x="28"/>
        <item x="72"/>
        <item x="7"/>
        <item x="94"/>
        <item x="187"/>
        <item x="299"/>
        <item x="31"/>
        <item x="110"/>
        <item x="60"/>
        <item x="81"/>
        <item x="287"/>
        <item x="168"/>
        <item x="114"/>
        <item x="23"/>
        <item x="274"/>
        <item x="296"/>
        <item x="246"/>
        <item x="325"/>
        <item x="275"/>
        <item x="291"/>
        <item x="190"/>
        <item x="183"/>
        <item x="77"/>
        <item x="320"/>
        <item x="176"/>
        <item x="29"/>
        <item x="292"/>
        <item x="146"/>
        <item x="117"/>
        <item x="13"/>
        <item x="151"/>
        <item x="228"/>
        <item x="121"/>
        <item x="36"/>
        <item x="115"/>
        <item x="111"/>
        <item x="16"/>
        <item x="259"/>
        <item x="177"/>
        <item x="124"/>
        <item x="319"/>
        <item x="93"/>
        <item x="100"/>
        <item x="279"/>
        <item x="152"/>
        <item x="74"/>
        <item x="84"/>
        <item x="216"/>
        <item x="54"/>
        <item x="30"/>
        <item x="188"/>
        <item x="65"/>
        <item x="223"/>
        <item x="290"/>
        <item x="237"/>
        <item x="194"/>
        <item x="130"/>
        <item x="311"/>
        <item x="332"/>
        <item x="193"/>
        <item x="172"/>
        <item x="169"/>
        <item x="158"/>
        <item x="86"/>
        <item x="125"/>
        <item x="180"/>
        <item x="145"/>
        <item x="89"/>
        <item x="268"/>
        <item x="107"/>
        <item x="137"/>
        <item x="155"/>
        <item x="153"/>
        <item x="333"/>
        <item x="321"/>
        <item x="294"/>
        <item x="213"/>
        <item x="252"/>
        <item x="133"/>
        <item x="189"/>
        <item x="2"/>
        <item x="140"/>
        <item x="78"/>
        <item x="139"/>
        <item x="134"/>
        <item x="1"/>
        <item x="217"/>
        <item x="113"/>
        <item x="165"/>
        <item x="150"/>
        <item x="284"/>
        <item x="19"/>
        <item x="17"/>
        <item x="283"/>
        <item x="131"/>
        <item x="76"/>
        <item x="55"/>
        <item x="0"/>
        <item x="303"/>
        <item x="96"/>
        <item x="302"/>
        <item x="227"/>
        <item x="244"/>
        <item x="91"/>
        <item x="161"/>
        <item x="166"/>
        <item x="82"/>
        <item x="203"/>
        <item x="79"/>
        <item x="278"/>
        <item x="38"/>
        <item x="179"/>
        <item x="143"/>
        <item x="49"/>
        <item x="276"/>
        <item x="229"/>
        <item x="240"/>
        <item x="148"/>
        <item x="316"/>
        <item x="163"/>
        <item x="318"/>
        <item x="208"/>
        <item x="198"/>
        <item x="330"/>
        <item x="289"/>
        <item x="205"/>
        <item x="196"/>
        <item x="102"/>
        <item x="250"/>
        <item x="310"/>
        <item x="263"/>
        <item x="127"/>
        <item x="305"/>
        <item x="254"/>
        <item x="214"/>
        <item x="298"/>
        <item x="171"/>
        <item x="104"/>
        <item x="80"/>
        <item x="306"/>
        <item x="10"/>
        <item x="218"/>
        <item x="199"/>
        <item x="164"/>
        <item x="253"/>
        <item x="314"/>
        <item x="312"/>
        <item x="135"/>
        <item x="232"/>
        <item x="195"/>
        <item x="32"/>
        <item x="3"/>
        <item x="266"/>
        <item x="52"/>
        <item x="337"/>
        <item x="286"/>
        <item x="239"/>
        <item x="335"/>
        <item x="317"/>
        <item x="285"/>
        <item x="272"/>
        <item x="106"/>
        <item x="57"/>
        <item x="128"/>
        <item x="87"/>
        <item x="293"/>
        <item x="112"/>
        <item x="37"/>
        <item x="271"/>
        <item x="34"/>
        <item x="129"/>
        <item x="280"/>
        <item x="185"/>
        <item x="309"/>
        <item x="233"/>
        <item x="329"/>
        <item x="120"/>
        <item x="212"/>
        <item x="119"/>
        <item x="8"/>
        <item x="123"/>
        <item x="326"/>
        <item x="149"/>
        <item x="48"/>
        <item x="301"/>
        <item x="144"/>
        <item x="242"/>
        <item x="322"/>
        <item x="191"/>
        <item x="300"/>
        <item x="154"/>
        <item x="288"/>
        <item x="44"/>
        <item x="206"/>
        <item x="66"/>
        <item x="142"/>
        <item x="26"/>
        <item x="22"/>
        <item x="98"/>
        <item x="162"/>
        <item x="138"/>
        <item x="5"/>
        <item x="184"/>
        <item x="156"/>
        <item x="35"/>
        <item x="11"/>
        <item x="260"/>
        <item x="85"/>
        <item x="42"/>
        <item x="47"/>
        <item x="90"/>
        <item x="88"/>
        <item x="210"/>
        <item x="40"/>
        <item x="39"/>
        <item x="27"/>
        <item x="258"/>
        <item x="201"/>
        <item x="182"/>
        <item x="132"/>
        <item x="221"/>
        <item x="328"/>
        <item x="277"/>
        <item x="261"/>
        <item x="339"/>
        <item x="64"/>
        <item x="225"/>
        <item x="101"/>
        <item x="92"/>
        <item x="304"/>
        <item x="14"/>
        <item x="50"/>
        <item x="70"/>
        <item x="235"/>
        <item x="207"/>
        <item x="236"/>
        <item x="15"/>
        <item x="62"/>
        <item x="6"/>
        <item x="308"/>
        <item x="147"/>
        <item x="281"/>
        <item t="default"/>
      </items>
    </pivotField>
    <pivotField compact="0" showAll="0"/>
    <pivotField compact="0" showAll="0">
      <items count="6">
        <item x="4"/>
        <item x="1"/>
        <item x="2"/>
        <item x="3"/>
        <item x="0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6">
        <item x="11"/>
        <item x="10"/>
        <item x="9"/>
        <item x="1"/>
        <item x="4"/>
        <item x="7"/>
        <item x="0"/>
        <item x="6"/>
        <item x="5"/>
        <item x="3"/>
        <item x="8"/>
        <item x="13"/>
        <item x="2"/>
        <item x="12"/>
        <item x="14"/>
        <item t="default"/>
      </items>
    </pivotField>
    <pivotField compact="0" showAll="0">
      <items count="6">
        <item x="2"/>
        <item x="3"/>
        <item x="1"/>
        <item x="4"/>
        <item x="0"/>
        <item t="default"/>
      </items>
    </pivotField>
    <pivotField compact="0" showAll="0"/>
    <pivotField dataField="1" compact="0" showAll="0">
      <items count="760">
        <item x="727"/>
        <item x="538"/>
        <item x="730"/>
        <item x="81"/>
        <item x="628"/>
        <item x="36"/>
        <item x="193"/>
        <item x="175"/>
        <item x="732"/>
        <item x="461"/>
        <item x="651"/>
        <item x="74"/>
        <item x="638"/>
        <item x="6"/>
        <item x="362"/>
        <item x="708"/>
        <item x="518"/>
        <item x="571"/>
        <item x="536"/>
        <item x="740"/>
        <item x="374"/>
        <item x="354"/>
        <item x="552"/>
        <item x="268"/>
        <item x="658"/>
        <item x="560"/>
        <item x="558"/>
        <item x="721"/>
        <item x="548"/>
        <item x="384"/>
        <item x="635"/>
        <item x="188"/>
        <item x="273"/>
        <item x="640"/>
        <item x="229"/>
        <item x="46"/>
        <item x="28"/>
        <item x="290"/>
        <item x="340"/>
        <item x="165"/>
        <item x="244"/>
        <item x="176"/>
        <item x="129"/>
        <item x="711"/>
        <item x="125"/>
        <item x="557"/>
        <item x="194"/>
        <item x="529"/>
        <item x="642"/>
        <item x="504"/>
        <item x="104"/>
        <item x="5"/>
        <item x="486"/>
        <item x="574"/>
        <item x="382"/>
        <item x="525"/>
        <item x="724"/>
        <item x="254"/>
        <item x="592"/>
        <item x="698"/>
        <item x="736"/>
        <item x="688"/>
        <item x="445"/>
        <item x="225"/>
        <item x="580"/>
        <item x="421"/>
        <item x="615"/>
        <item x="581"/>
        <item x="393"/>
        <item x="746"/>
        <item x="701"/>
        <item x="741"/>
        <item x="649"/>
        <item x="55"/>
        <item x="328"/>
        <item x="748"/>
        <item x="113"/>
        <item x="283"/>
        <item x="43"/>
        <item x="744"/>
        <item x="397"/>
        <item x="102"/>
        <item x="572"/>
        <item x="391"/>
        <item x="52"/>
        <item x="706"/>
        <item x="535"/>
        <item x="339"/>
        <item x="180"/>
        <item x="187"/>
        <item x="639"/>
        <item x="119"/>
        <item x="213"/>
        <item x="621"/>
        <item x="65"/>
        <item x="539"/>
        <item x="662"/>
        <item x="94"/>
        <item x="66"/>
        <item x="378"/>
        <item x="9"/>
        <item x="154"/>
        <item x="396"/>
        <item x="369"/>
        <item x="494"/>
        <item x="228"/>
        <item x="429"/>
        <item x="256"/>
        <item x="51"/>
        <item x="566"/>
        <item x="116"/>
        <item x="377"/>
        <item x="140"/>
        <item x="12"/>
        <item x="245"/>
        <item x="404"/>
        <item x="270"/>
        <item x="138"/>
        <item x="251"/>
        <item x="553"/>
        <item x="530"/>
        <item x="379"/>
        <item x="257"/>
        <item x="671"/>
        <item x="511"/>
        <item x="192"/>
        <item x="389"/>
        <item x="183"/>
        <item x="48"/>
        <item x="21"/>
        <item x="363"/>
        <item x="217"/>
        <item x="666"/>
        <item x="492"/>
        <item x="381"/>
        <item x="475"/>
        <item x="29"/>
        <item x="276"/>
        <item x="579"/>
        <item x="650"/>
        <item x="196"/>
        <item x="100"/>
        <item x="582"/>
        <item x="346"/>
        <item x="388"/>
        <item x="96"/>
        <item x="300"/>
        <item x="705"/>
        <item x="540"/>
        <item x="654"/>
        <item x="513"/>
        <item x="95"/>
        <item x="427"/>
        <item x="333"/>
        <item x="210"/>
        <item x="190"/>
        <item x="758"/>
        <item x="141"/>
        <item x="499"/>
        <item x="207"/>
        <item x="249"/>
        <item x="570"/>
        <item x="312"/>
        <item x="324"/>
        <item x="647"/>
        <item x="304"/>
        <item x="17"/>
        <item x="480"/>
        <item x="457"/>
        <item x="585"/>
        <item x="501"/>
        <item x="514"/>
        <item x="157"/>
        <item x="280"/>
        <item x="648"/>
        <item x="334"/>
        <item x="170"/>
        <item x="476"/>
        <item x="361"/>
        <item x="509"/>
        <item x="262"/>
        <item x="93"/>
        <item x="757"/>
        <item x="286"/>
        <item x="31"/>
        <item x="82"/>
        <item x="410"/>
        <item x="401"/>
        <item x="368"/>
        <item x="166"/>
        <item x="299"/>
        <item x="201"/>
        <item x="57"/>
        <item x="426"/>
        <item x="683"/>
        <item x="39"/>
        <item x="329"/>
        <item x="498"/>
        <item x="23"/>
        <item x="714"/>
        <item x="342"/>
        <item x="294"/>
        <item x="127"/>
        <item x="675"/>
        <item x="124"/>
        <item x="160"/>
        <item x="408"/>
        <item x="469"/>
        <item x="728"/>
        <item x="528"/>
        <item x="738"/>
        <item x="184"/>
        <item x="223"/>
        <item x="681"/>
        <item x="306"/>
        <item x="619"/>
        <item x="551"/>
        <item x="258"/>
        <item x="364"/>
        <item x="453"/>
        <item x="171"/>
        <item x="462"/>
        <item x="684"/>
        <item x="471"/>
        <item x="573"/>
        <item x="237"/>
        <item x="755"/>
        <item x="718"/>
        <item x="347"/>
        <item x="151"/>
        <item x="181"/>
        <item x="203"/>
        <item x="260"/>
        <item x="200"/>
        <item x="327"/>
        <item x="263"/>
        <item x="275"/>
        <item x="456"/>
        <item x="79"/>
        <item x="169"/>
        <item x="287"/>
        <item x="437"/>
        <item x="411"/>
        <item x="358"/>
        <item x="424"/>
        <item x="282"/>
        <item x="266"/>
        <item x="484"/>
        <item x="85"/>
        <item x="344"/>
        <item x="454"/>
        <item x="239"/>
        <item x="680"/>
        <item x="83"/>
        <item x="284"/>
        <item x="137"/>
        <item x="446"/>
        <item x="134"/>
        <item x="70"/>
        <item x="466"/>
        <item x="704"/>
        <item x="604"/>
        <item x="63"/>
        <item x="84"/>
        <item x="664"/>
        <item x="726"/>
        <item x="76"/>
        <item x="243"/>
        <item x="546"/>
        <item x="689"/>
        <item x="390"/>
        <item x="412"/>
        <item x="27"/>
        <item x="297"/>
        <item x="149"/>
        <item x="512"/>
        <item x="32"/>
        <item x="586"/>
        <item x="2"/>
        <item x="700"/>
        <item x="451"/>
        <item x="660"/>
        <item x="569"/>
        <item x="216"/>
        <item x="674"/>
        <item x="743"/>
        <item x="605"/>
        <item x="338"/>
        <item x="315"/>
        <item x="182"/>
        <item x="612"/>
        <item x="526"/>
        <item x="331"/>
        <item x="147"/>
        <item x="380"/>
        <item x="418"/>
        <item x="631"/>
        <item x="614"/>
        <item x="240"/>
        <item x="308"/>
        <item x="353"/>
        <item x="110"/>
        <item x="271"/>
        <item x="517"/>
        <item x="11"/>
        <item x="281"/>
        <item x="477"/>
        <item x="496"/>
        <item x="482"/>
        <item x="568"/>
        <item x="250"/>
        <item x="395"/>
        <item x="161"/>
        <item x="349"/>
        <item x="387"/>
        <item x="419"/>
        <item x="729"/>
        <item x="415"/>
        <item x="56"/>
        <item x="341"/>
        <item x="155"/>
        <item x="335"/>
        <item x="144"/>
        <item x="590"/>
        <item x="468"/>
        <item x="622"/>
        <item x="92"/>
        <item x="507"/>
        <item x="533"/>
        <item x="686"/>
        <item x="150"/>
        <item x="610"/>
        <item x="185"/>
        <item x="173"/>
        <item x="633"/>
        <item x="491"/>
        <item x="115"/>
        <item x="371"/>
        <item x="682"/>
        <item x="563"/>
        <item x="337"/>
        <item x="753"/>
        <item x="567"/>
        <item x="146"/>
        <item x="722"/>
        <item x="195"/>
        <item x="406"/>
        <item x="519"/>
        <item x="576"/>
        <item x="629"/>
        <item x="15"/>
        <item x="139"/>
        <item x="355"/>
        <item x="121"/>
        <item x="510"/>
        <item x="71"/>
        <item x="699"/>
        <item x="549"/>
        <item x="607"/>
        <item x="211"/>
        <item x="199"/>
        <item x="399"/>
        <item x="669"/>
        <item x="719"/>
        <item x="532"/>
        <item x="0"/>
        <item x="392"/>
        <item x="645"/>
        <item x="295"/>
        <item x="247"/>
        <item x="634"/>
        <item x="707"/>
        <item x="67"/>
        <item x="383"/>
        <item x="439"/>
        <item x="597"/>
        <item x="54"/>
        <item x="30"/>
        <item x="594"/>
        <item x="372"/>
        <item x="22"/>
        <item x="676"/>
        <item x="330"/>
        <item x="523"/>
        <item x="430"/>
        <item x="158"/>
        <item x="205"/>
        <item x="643"/>
        <item x="646"/>
        <item x="376"/>
        <item x="655"/>
        <item x="386"/>
        <item x="712"/>
        <item x="164"/>
        <item x="447"/>
        <item x="16"/>
        <item x="756"/>
        <item x="261"/>
        <item x="14"/>
        <item x="8"/>
        <item x="80"/>
        <item x="97"/>
        <item x="60"/>
        <item x="394"/>
        <item x="505"/>
        <item x="90"/>
        <item x="45"/>
        <item x="561"/>
        <item x="89"/>
        <item x="13"/>
        <item x="105"/>
        <item x="293"/>
        <item x="734"/>
        <item x="62"/>
        <item x="433"/>
        <item x="474"/>
        <item x="148"/>
        <item x="253"/>
        <item x="224"/>
        <item x="348"/>
        <item x="359"/>
        <item x="595"/>
        <item x="516"/>
        <item x="313"/>
        <item x="296"/>
        <item x="656"/>
        <item x="98"/>
        <item x="575"/>
        <item x="565"/>
        <item x="18"/>
        <item x="88"/>
        <item x="135"/>
        <item x="422"/>
        <item x="214"/>
        <item x="246"/>
        <item x="109"/>
        <item x="495"/>
        <item x="747"/>
        <item x="485"/>
        <item x="434"/>
        <item x="441"/>
        <item x="234"/>
        <item x="613"/>
        <item x="236"/>
        <item x="40"/>
        <item x="460"/>
        <item x="679"/>
        <item x="202"/>
        <item x="450"/>
        <item x="242"/>
        <item x="163"/>
        <item x="314"/>
        <item x="318"/>
        <item x="587"/>
        <item x="473"/>
        <item x="99"/>
        <item x="416"/>
        <item x="481"/>
        <item x="524"/>
        <item x="132"/>
        <item x="19"/>
        <item x="443"/>
        <item x="742"/>
        <item x="143"/>
        <item x="703"/>
        <item x="279"/>
        <item x="153"/>
        <item x="467"/>
        <item x="463"/>
        <item x="370"/>
        <item x="357"/>
        <item x="603"/>
        <item x="678"/>
        <item x="321"/>
        <item x="3"/>
        <item x="1"/>
        <item x="53"/>
        <item x="126"/>
        <item x="241"/>
        <item x="38"/>
        <item x="307"/>
        <item x="219"/>
        <item x="723"/>
        <item x="311"/>
        <item x="465"/>
        <item x="432"/>
        <item x="487"/>
        <item x="305"/>
        <item x="632"/>
        <item x="420"/>
        <item x="343"/>
        <item x="118"/>
        <item x="577"/>
        <item x="252"/>
        <item x="145"/>
        <item x="497"/>
        <item x="272"/>
        <item x="625"/>
        <item x="20"/>
        <item x="298"/>
        <item x="403"/>
        <item x="69"/>
        <item x="444"/>
        <item x="637"/>
        <item x="483"/>
        <item x="326"/>
        <item x="670"/>
        <item x="218"/>
        <item x="428"/>
        <item x="449"/>
        <item x="506"/>
        <item x="543"/>
        <item x="672"/>
        <item x="177"/>
        <item x="59"/>
        <item x="584"/>
        <item x="222"/>
        <item x="717"/>
        <item x="269"/>
        <item x="697"/>
        <item x="73"/>
        <item x="289"/>
        <item x="490"/>
        <item x="503"/>
        <item x="44"/>
        <item x="534"/>
        <item x="267"/>
        <item x="231"/>
        <item x="550"/>
        <item x="366"/>
        <item x="230"/>
        <item x="108"/>
        <item x="425"/>
        <item x="593"/>
        <item x="375"/>
        <item x="25"/>
        <item x="277"/>
        <item x="616"/>
        <item x="75"/>
        <item x="316"/>
        <item x="737"/>
        <item x="319"/>
        <item x="713"/>
        <item x="255"/>
        <item x="103"/>
        <item x="323"/>
        <item x="189"/>
        <item x="42"/>
        <item x="661"/>
        <item x="488"/>
        <item x="179"/>
        <item x="47"/>
        <item x="232"/>
        <item x="440"/>
        <item x="152"/>
        <item x="710"/>
        <item x="659"/>
        <item x="620"/>
        <item x="409"/>
        <item x="87"/>
        <item x="112"/>
        <item x="694"/>
        <item x="715"/>
        <item x="303"/>
        <item x="562"/>
        <item x="623"/>
        <item x="601"/>
        <item x="749"/>
        <item x="221"/>
        <item x="206"/>
        <item x="541"/>
        <item x="544"/>
        <item x="24"/>
        <item x="508"/>
        <item x="34"/>
        <item x="352"/>
        <item x="641"/>
        <item x="345"/>
        <item x="702"/>
        <item x="464"/>
        <item x="208"/>
        <item x="174"/>
        <item x="332"/>
        <item x="301"/>
        <item x="618"/>
        <item x="739"/>
        <item x="264"/>
        <item x="41"/>
        <item x="588"/>
        <item x="624"/>
        <item x="336"/>
        <item x="198"/>
        <item x="61"/>
        <item x="49"/>
        <item x="630"/>
        <item x="405"/>
        <item x="91"/>
        <item x="317"/>
        <item x="693"/>
        <item x="50"/>
        <item x="259"/>
        <item x="178"/>
        <item x="309"/>
        <item x="720"/>
        <item x="156"/>
        <item x="162"/>
        <item x="556"/>
        <item x="310"/>
        <item x="204"/>
        <item x="657"/>
        <item x="186"/>
        <item x="545"/>
        <item x="191"/>
        <item x="589"/>
        <item x="600"/>
        <item x="233"/>
        <item x="472"/>
        <item x="58"/>
        <item x="285"/>
        <item x="238"/>
        <item x="167"/>
        <item x="122"/>
        <item x="493"/>
        <item x="77"/>
        <item x="685"/>
        <item x="690"/>
        <item x="479"/>
        <item x="602"/>
        <item x="123"/>
        <item x="227"/>
        <item x="591"/>
        <item x="448"/>
        <item x="322"/>
        <item x="636"/>
        <item x="235"/>
        <item x="692"/>
        <item x="752"/>
        <item x="128"/>
        <item x="438"/>
        <item x="531"/>
        <item x="64"/>
        <item x="367"/>
        <item x="583"/>
        <item x="564"/>
        <item x="455"/>
        <item x="320"/>
        <item x="611"/>
        <item x="745"/>
        <item x="417"/>
        <item x="325"/>
        <item x="278"/>
        <item x="212"/>
        <item x="559"/>
        <item x="452"/>
        <item x="423"/>
        <item x="274"/>
        <item x="172"/>
        <item x="72"/>
        <item x="696"/>
        <item x="458"/>
        <item x="665"/>
        <item x="400"/>
        <item x="609"/>
        <item x="627"/>
        <item x="142"/>
        <item x="435"/>
        <item x="687"/>
        <item x="209"/>
        <item x="663"/>
        <item x="136"/>
        <item x="291"/>
        <item x="652"/>
        <item x="402"/>
        <item x="733"/>
        <item x="33"/>
        <item x="667"/>
        <item x="248"/>
        <item x="751"/>
        <item x="413"/>
        <item x="527"/>
        <item x="735"/>
        <item x="691"/>
        <item x="350"/>
        <item x="111"/>
        <item x="677"/>
        <item x="265"/>
        <item x="542"/>
        <item x="7"/>
        <item x="302"/>
        <item x="107"/>
        <item x="555"/>
        <item x="288"/>
        <item x="470"/>
        <item x="68"/>
        <item x="709"/>
        <item x="385"/>
        <item x="168"/>
        <item x="547"/>
        <item x="398"/>
        <item x="653"/>
        <item x="117"/>
        <item x="360"/>
        <item x="731"/>
        <item x="351"/>
        <item x="114"/>
        <item x="515"/>
        <item x="35"/>
        <item x="626"/>
        <item x="554"/>
        <item x="695"/>
        <item x="10"/>
        <item x="159"/>
        <item x="120"/>
        <item x="500"/>
        <item x="101"/>
        <item x="578"/>
        <item x="598"/>
        <item x="668"/>
        <item x="365"/>
        <item x="673"/>
        <item x="608"/>
        <item x="407"/>
        <item x="617"/>
        <item x="442"/>
        <item x="414"/>
        <item x="4"/>
        <item x="754"/>
        <item x="292"/>
        <item x="26"/>
        <item x="521"/>
        <item x="37"/>
        <item x="226"/>
        <item x="78"/>
        <item x="356"/>
        <item x="596"/>
        <item x="86"/>
        <item x="522"/>
        <item x="725"/>
        <item x="197"/>
        <item x="215"/>
        <item x="537"/>
        <item x="489"/>
        <item x="750"/>
        <item x="478"/>
        <item x="520"/>
        <item x="131"/>
        <item x="606"/>
        <item x="599"/>
        <item x="106"/>
        <item x="373"/>
        <item x="431"/>
        <item x="436"/>
        <item x="133"/>
        <item x="502"/>
        <item x="644"/>
        <item x="716"/>
        <item x="459"/>
        <item x="220"/>
        <item x="130"/>
        <item t="default"/>
      </items>
    </pivotField>
    <pivotField compact="0" showAll="0"/>
    <pivotField compact="0" showAll="0">
      <items count="721">
        <item x="36"/>
        <item x="689"/>
        <item x="616"/>
        <item x="345"/>
        <item x="435"/>
        <item x="454"/>
        <item x="520"/>
        <item x="490"/>
        <item x="693"/>
        <item x="6"/>
        <item x="182"/>
        <item x="72"/>
        <item x="292"/>
        <item x="79"/>
        <item x="597"/>
        <item x="220"/>
        <item x="119"/>
        <item x="545"/>
        <item x="530"/>
        <item x="691"/>
        <item x="270"/>
        <item x="337"/>
        <item x="151"/>
        <item x="668"/>
        <item x="162"/>
        <item x="272"/>
        <item x="525"/>
        <item x="176"/>
        <item x="684"/>
        <item x="535"/>
        <item x="600"/>
        <item x="547"/>
        <item x="504"/>
        <item x="390"/>
        <item x="258"/>
        <item x="661"/>
        <item x="105"/>
        <item x="708"/>
        <item x="621"/>
        <item x="52"/>
        <item x="174"/>
        <item x="357"/>
        <item x="116"/>
        <item x="327"/>
        <item x="681"/>
        <item x="218"/>
        <item x="369"/>
        <item x="129"/>
        <item x="91"/>
        <item x="167"/>
        <item x="578"/>
        <item x="65"/>
        <item x="465"/>
        <item x="5"/>
        <item x="46"/>
        <item x="28"/>
        <item x="540"/>
        <item x="274"/>
        <item x="215"/>
        <item x="234"/>
        <item x="476"/>
        <item x="142"/>
        <item x="602"/>
        <item x="358"/>
        <item x="263"/>
        <item x="264"/>
        <item x="235"/>
        <item x="163"/>
        <item x="314"/>
        <item x="449"/>
        <item x="612"/>
        <item x="655"/>
        <item x="319"/>
        <item x="367"/>
        <item x="338"/>
        <item x="697"/>
        <item x="295"/>
        <item x="43"/>
        <item x="183"/>
        <item x="21"/>
        <item x="365"/>
        <item x="629"/>
        <item x="652"/>
        <item x="713"/>
        <item x="377"/>
        <item x="12"/>
        <item x="618"/>
        <item x="189"/>
        <item x="702"/>
        <item x="175"/>
        <item x="219"/>
        <item x="633"/>
        <item x="649"/>
        <item x="9"/>
        <item x="355"/>
        <item x="202"/>
        <item x="376"/>
        <item x="55"/>
        <item x="180"/>
        <item x="291"/>
        <item x="31"/>
        <item x="51"/>
        <item x="156"/>
        <item x="181"/>
        <item x="521"/>
        <item x="613"/>
        <item x="706"/>
        <item x="481"/>
        <item x="469"/>
        <item x="197"/>
        <item x="346"/>
        <item x="679"/>
        <item x="144"/>
        <item x="671"/>
        <item x="23"/>
        <item x="351"/>
        <item x="457"/>
        <item x="632"/>
        <item x="506"/>
        <item x="107"/>
        <item x="57"/>
        <item x="436"/>
        <item x="260"/>
        <item x="514"/>
        <item x="446"/>
        <item x="29"/>
        <item x="642"/>
        <item x="586"/>
        <item x="601"/>
        <item x="287"/>
        <item x="247"/>
        <item x="348"/>
        <item x="184"/>
        <item x="499"/>
        <item x="66"/>
        <item x="171"/>
        <item x="239"/>
        <item x="445"/>
        <item x="650"/>
        <item x="519"/>
        <item x="246"/>
        <item x="396"/>
        <item x="664"/>
        <item x="486"/>
        <item x="254"/>
        <item x="170"/>
        <item x="362"/>
        <item x="379"/>
        <item x="48"/>
        <item x="429"/>
        <item x="242"/>
        <item x="139"/>
        <item x="471"/>
        <item x="719"/>
        <item x="614"/>
        <item x="74"/>
        <item x="498"/>
        <item x="591"/>
        <item x="394"/>
        <item x="639"/>
        <item x="236"/>
        <item x="39"/>
        <item x="117"/>
        <item x="253"/>
        <item x="304"/>
        <item x="605"/>
        <item x="609"/>
        <item x="628"/>
        <item x="434"/>
        <item x="625"/>
        <item x="178"/>
        <item x="323"/>
        <item x="676"/>
        <item x="152"/>
        <item x="209"/>
        <item x="80"/>
        <item x="17"/>
        <item x="155"/>
        <item x="593"/>
        <item x="478"/>
        <item x="92"/>
        <item x="81"/>
        <item x="641"/>
        <item x="248"/>
        <item x="90"/>
        <item x="507"/>
        <item x="130"/>
        <item x="343"/>
        <item x="273"/>
        <item x="687"/>
        <item x="417"/>
        <item x="27"/>
        <item x="306"/>
        <item x="146"/>
        <item x="539"/>
        <item x="487"/>
        <item x="124"/>
        <item x="333"/>
        <item x="363"/>
        <item x="450"/>
        <item x="277"/>
        <item x="278"/>
        <item x="443"/>
        <item x="271"/>
        <item x="373"/>
        <item x="532"/>
        <item x="651"/>
        <item x="82"/>
        <item x="484"/>
        <item x="356"/>
        <item x="63"/>
        <item x="485"/>
        <item x="468"/>
        <item x="290"/>
        <item x="298"/>
        <item x="11"/>
        <item x="230"/>
        <item x="261"/>
        <item x="494"/>
        <item x="482"/>
        <item x="375"/>
        <item x="320"/>
        <item x="127"/>
        <item x="718"/>
        <item x="426"/>
        <item x="646"/>
        <item x="405"/>
        <item x="0"/>
        <item x="192"/>
        <item x="288"/>
        <item x="115"/>
        <item x="147"/>
        <item x="690"/>
        <item x="77"/>
        <item x="553"/>
        <item x="168"/>
        <item x="150"/>
        <item x="322"/>
        <item x="636"/>
        <item x="317"/>
        <item x="56"/>
        <item x="240"/>
        <item x="237"/>
        <item x="86"/>
        <item x="400"/>
        <item x="313"/>
        <item x="401"/>
        <item x="69"/>
        <item x="158"/>
        <item x="188"/>
        <item x="698"/>
        <item x="213"/>
        <item x="384"/>
        <item x="157"/>
        <item x="200"/>
        <item x="562"/>
        <item x="453"/>
        <item x="424"/>
        <item x="251"/>
        <item x="644"/>
        <item x="489"/>
        <item x="89"/>
        <item x="227"/>
        <item x="228"/>
        <item x="596"/>
        <item x="575"/>
        <item x="473"/>
        <item x="680"/>
        <item x="30"/>
        <item x="410"/>
        <item x="191"/>
        <item x="8"/>
        <item x="517"/>
        <item x="383"/>
        <item x="125"/>
        <item x="94"/>
        <item x="643"/>
        <item x="441"/>
        <item x="389"/>
        <item x="371"/>
        <item x="427"/>
        <item x="205"/>
        <item x="710"/>
        <item x="331"/>
        <item x="716"/>
        <item x="18"/>
        <item x="78"/>
        <item x="607"/>
        <item x="325"/>
        <item x="557"/>
        <item x="603"/>
        <item x="364"/>
        <item x="515"/>
        <item x="109"/>
        <item x="14"/>
        <item x="380"/>
        <item x="574"/>
        <item x="169"/>
        <item x="45"/>
        <item x="513"/>
        <item x="137"/>
        <item x="439"/>
        <item x="437"/>
        <item x="340"/>
        <item x="97"/>
        <item x="233"/>
        <item x="87"/>
        <item x="585"/>
        <item x="329"/>
        <item x="203"/>
        <item x="344"/>
        <item x="265"/>
        <item x="360"/>
        <item x="448"/>
        <item x="301"/>
        <item x="701"/>
        <item x="60"/>
        <item x="496"/>
        <item x="407"/>
        <item x="208"/>
        <item x="526"/>
        <item x="133"/>
        <item x="677"/>
        <item x="438"/>
        <item x="231"/>
        <item x="500"/>
        <item x="305"/>
        <item x="201"/>
        <item x="640"/>
        <item x="135"/>
        <item x="141"/>
        <item x="388"/>
        <item x="102"/>
        <item x="316"/>
        <item x="2"/>
        <item x="627"/>
        <item x="172"/>
        <item x="32"/>
        <item x="38"/>
        <item x="411"/>
        <item x="352"/>
        <item x="483"/>
        <item x="149"/>
        <item x="619"/>
        <item x="40"/>
        <item x="455"/>
        <item x="269"/>
        <item x="160"/>
        <item x="415"/>
        <item x="534"/>
        <item x="195"/>
        <item x="391"/>
        <item x="561"/>
        <item x="138"/>
        <item x="538"/>
        <item x="136"/>
        <item x="717"/>
        <item x="466"/>
        <item x="408"/>
        <item x="542"/>
        <item x="463"/>
        <item x="444"/>
        <item x="653"/>
        <item x="241"/>
        <item x="673"/>
        <item x="688"/>
        <item x="93"/>
        <item x="568"/>
        <item x="164"/>
        <item x="418"/>
        <item x="503"/>
        <item x="563"/>
        <item x="85"/>
        <item x="393"/>
        <item x="22"/>
        <item x="555"/>
        <item x="350"/>
        <item x="510"/>
        <item x="166"/>
        <item x="13"/>
        <item x="399"/>
        <item x="577"/>
        <item x="211"/>
        <item x="280"/>
        <item x="259"/>
        <item x="685"/>
        <item x="556"/>
        <item x="243"/>
        <item x="570"/>
        <item x="15"/>
        <item x="402"/>
        <item x="16"/>
        <item x="660"/>
        <item x="634"/>
        <item x="395"/>
        <item x="502"/>
        <item x="611"/>
        <item x="682"/>
        <item x="461"/>
        <item x="44"/>
        <item x="299"/>
        <item x="477"/>
        <item x="177"/>
        <item x="62"/>
        <item x="330"/>
        <item x="128"/>
        <item x="206"/>
        <item x="95"/>
        <item x="54"/>
        <item x="440"/>
        <item x="110"/>
        <item x="341"/>
        <item x="98"/>
        <item x="599"/>
        <item x="595"/>
        <item x="24"/>
        <item x="480"/>
        <item x="537"/>
        <item x="368"/>
        <item x="334"/>
        <item x="225"/>
        <item x="223"/>
        <item x="284"/>
        <item x="420"/>
        <item x="187"/>
        <item x="707"/>
        <item x="53"/>
        <item x="297"/>
        <item x="576"/>
        <item x="700"/>
        <item x="61"/>
        <item x="456"/>
        <item x="615"/>
        <item x="112"/>
        <item x="413"/>
        <item x="285"/>
        <item x="442"/>
        <item x="672"/>
        <item x="353"/>
        <item x="366"/>
        <item x="670"/>
        <item x="286"/>
        <item x="549"/>
        <item x="73"/>
        <item x="432"/>
        <item x="462"/>
        <item x="71"/>
        <item x="217"/>
        <item x="662"/>
        <item x="458"/>
        <item x="179"/>
        <item x="703"/>
        <item x="25"/>
        <item x="221"/>
        <item x="289"/>
        <item x="422"/>
        <item x="544"/>
        <item x="50"/>
        <item x="491"/>
        <item x="527"/>
        <item x="648"/>
        <item x="309"/>
        <item x="581"/>
        <item x="252"/>
        <item x="560"/>
        <item x="302"/>
        <item x="232"/>
        <item x="529"/>
        <item x="308"/>
        <item x="423"/>
        <item x="321"/>
        <item x="412"/>
        <item x="190"/>
        <item x="669"/>
        <item x="249"/>
        <item x="196"/>
        <item x="430"/>
        <item x="104"/>
        <item x="665"/>
        <item x="533"/>
        <item x="198"/>
        <item x="638"/>
        <item x="518"/>
        <item x="541"/>
        <item x="582"/>
        <item x="229"/>
        <item x="361"/>
        <item x="416"/>
        <item x="3"/>
        <item x="20"/>
        <item x="64"/>
        <item x="617"/>
        <item x="659"/>
        <item x="623"/>
        <item x="589"/>
        <item x="475"/>
        <item x="19"/>
        <item x="645"/>
        <item x="335"/>
        <item x="311"/>
        <item x="683"/>
        <item x="68"/>
        <item x="224"/>
        <item x="579"/>
        <item x="194"/>
        <item x="281"/>
        <item x="524"/>
        <item x="550"/>
        <item x="610"/>
        <item x="548"/>
        <item x="604"/>
        <item x="381"/>
        <item x="244"/>
        <item x="296"/>
        <item x="511"/>
        <item x="34"/>
        <item x="315"/>
        <item x="508"/>
        <item x="318"/>
        <item x="122"/>
        <item x="467"/>
        <item x="622"/>
        <item x="531"/>
        <item x="84"/>
        <item x="497"/>
        <item x="42"/>
        <item x="705"/>
        <item x="336"/>
        <item x="132"/>
        <item x="1"/>
        <item x="199"/>
        <item x="210"/>
        <item x="255"/>
        <item x="266"/>
        <item x="516"/>
        <item x="114"/>
        <item x="372"/>
        <item x="332"/>
        <item x="403"/>
        <item x="222"/>
        <item x="100"/>
        <item x="647"/>
        <item x="419"/>
        <item x="699"/>
        <item x="374"/>
        <item x="630"/>
        <item x="88"/>
        <item x="588"/>
        <item x="153"/>
        <item x="303"/>
        <item x="536"/>
        <item x="41"/>
        <item x="113"/>
        <item x="143"/>
        <item x="161"/>
        <item x="598"/>
        <item x="238"/>
        <item x="134"/>
        <item x="307"/>
        <item x="590"/>
        <item x="704"/>
        <item x="674"/>
        <item x="49"/>
        <item x="464"/>
        <item x="663"/>
        <item x="328"/>
        <item x="501"/>
        <item x="558"/>
        <item x="293"/>
        <item x="552"/>
        <item x="512"/>
        <item x="262"/>
        <item x="59"/>
        <item x="347"/>
        <item x="657"/>
        <item x="624"/>
        <item x="173"/>
        <item x="554"/>
        <item x="715"/>
        <item x="359"/>
        <item x="675"/>
        <item x="140"/>
        <item x="543"/>
        <item x="551"/>
        <item x="474"/>
        <item x="257"/>
        <item x="584"/>
        <item x="267"/>
        <item x="637"/>
        <item x="709"/>
        <item x="214"/>
        <item x="101"/>
        <item x="587"/>
        <item x="382"/>
        <item x="694"/>
        <item x="711"/>
        <item x="326"/>
        <item x="300"/>
        <item x="447"/>
        <item x="47"/>
        <item x="620"/>
        <item x="245"/>
        <item x="250"/>
        <item x="580"/>
        <item x="378"/>
        <item x="324"/>
        <item x="546"/>
        <item x="567"/>
        <item x="479"/>
        <item x="204"/>
        <item x="470"/>
        <item x="256"/>
        <item x="186"/>
        <item x="678"/>
        <item x="120"/>
        <item x="667"/>
        <item x="404"/>
        <item x="126"/>
        <item x="421"/>
        <item x="275"/>
        <item x="572"/>
        <item x="398"/>
        <item x="312"/>
        <item x="566"/>
        <item x="571"/>
        <item x="35"/>
        <item x="594"/>
        <item x="392"/>
        <item x="165"/>
        <item x="67"/>
        <item x="58"/>
        <item x="425"/>
        <item x="148"/>
        <item x="459"/>
        <item x="505"/>
        <item x="339"/>
        <item x="656"/>
        <item x="4"/>
        <item x="451"/>
        <item x="559"/>
        <item x="626"/>
        <item x="452"/>
        <item x="310"/>
        <item x="573"/>
        <item x="654"/>
        <item x="386"/>
        <item x="282"/>
        <item x="714"/>
        <item x="592"/>
        <item x="509"/>
        <item x="387"/>
        <item x="472"/>
        <item x="83"/>
        <item x="118"/>
        <item x="96"/>
        <item x="283"/>
        <item x="569"/>
        <item x="75"/>
        <item x="276"/>
        <item x="692"/>
        <item x="212"/>
        <item x="268"/>
        <item x="70"/>
        <item x="154"/>
        <item x="111"/>
        <item x="226"/>
        <item x="583"/>
        <item x="409"/>
        <item x="428"/>
        <item x="608"/>
        <item x="385"/>
        <item x="397"/>
        <item x="294"/>
        <item x="106"/>
        <item x="696"/>
        <item x="99"/>
        <item x="695"/>
        <item x="131"/>
        <item x="523"/>
        <item x="564"/>
        <item x="606"/>
        <item x="406"/>
        <item x="342"/>
        <item x="159"/>
        <item x="712"/>
        <item x="488"/>
        <item x="349"/>
        <item x="433"/>
        <item x="279"/>
        <item x="493"/>
        <item x="33"/>
        <item x="10"/>
        <item x="145"/>
        <item x="103"/>
        <item x="686"/>
        <item x="631"/>
        <item x="658"/>
        <item x="7"/>
        <item x="522"/>
        <item x="370"/>
        <item x="185"/>
        <item x="108"/>
        <item x="37"/>
        <item x="635"/>
        <item x="193"/>
        <item x="460"/>
        <item x="414"/>
        <item x="216"/>
        <item x="492"/>
        <item x="76"/>
        <item x="354"/>
        <item x="495"/>
        <item x="26"/>
        <item x="528"/>
        <item x="207"/>
        <item x="121"/>
        <item x="565"/>
        <item x="431"/>
        <item x="666"/>
        <item x="123"/>
        <item t="default"/>
      </items>
    </pivotField>
    <pivotField compact="0" showAll="0">
      <items count="5">
        <item x="0"/>
        <item x="3"/>
        <item x="1"/>
        <item x="2"/>
        <item t="default"/>
      </items>
    </pivotField>
    <pivotField compact="0" showAll="0"/>
    <pivotField compact="0" showAll="0"/>
  </pivotFields>
  <rowFields count="1">
    <field x="1"/>
  </rowFields>
  <rowItems count="6">
    <i>
      <x v="98"/>
    </i>
    <i>
      <x v="101"/>
    </i>
    <i>
      <x v="147"/>
    </i>
    <i>
      <x v="277"/>
    </i>
    <i>
      <x v="294"/>
    </i>
    <i t="grand">
      <x/>
    </i>
  </rowItems>
  <colItems count="1">
    <i/>
  </colItems>
  <dataFields count="1">
    <dataField name="Sum of Sales_Amount" fld="8" baseField="0" baseItem="0"/>
  </dataFields>
  <formats count="21">
    <format dxfId="15">
      <pivotArea type="all" dataOnly="0" outline="0" fieldPosition="0"/>
    </format>
    <format dxfId="16">
      <pivotArea outline="0" collapsedLevelsAreSubtotals="1" fieldPosition="0"/>
    </format>
    <format dxfId="17">
      <pivotArea field="1" type="button" dataOnly="0" labelOnly="1" outline="0" fieldPosition="0"/>
    </format>
    <format dxfId="18">
      <pivotArea dataOnly="0" labelOnly="1" outline="0" fieldPosition="0"/>
    </format>
    <format dxfId="19">
      <pivotArea dataOnly="0" labelOnly="1" outline="0" fieldPosition="0">
        <references count="1">
          <reference field="1" count="5">
            <x v="98"/>
            <x v="101"/>
            <x v="147"/>
            <x v="277"/>
            <x v="294"/>
          </reference>
        </references>
      </pivotArea>
    </format>
    <format dxfId="20">
      <pivotArea dataOnly="0" labelOnly="1" grandRow="1" outline="0" fieldPosition="0"/>
    </format>
    <format dxfId="21">
      <pivotArea dataOnly="0" labelOnly="1" outline="0" fieldPosition="0"/>
    </format>
    <format dxfId="22">
      <pivotArea collapsedLevelsAreSubtotals="1" fieldPosition="0">
        <references count="1">
          <reference field="1" count="5">
            <x v="98"/>
            <x v="101"/>
            <x v="147"/>
            <x v="277"/>
            <x v="294"/>
          </reference>
        </references>
      </pivotArea>
    </format>
    <format dxfId="23">
      <pivotArea dataOnly="0" labelOnly="1" outline="0" fieldPosition="0">
        <references count="1">
          <reference field="1" count="5">
            <x v="98"/>
            <x v="101"/>
            <x v="147"/>
            <x v="277"/>
            <x v="294"/>
          </reference>
        </references>
      </pivotArea>
    </format>
    <format dxfId="24">
      <pivotArea type="all" dataOnly="0" outline="0" fieldPosition="0"/>
    </format>
    <format dxfId="25">
      <pivotArea outline="0" collapsedLevelsAreSubtotals="1" fieldPosition="0"/>
    </format>
    <format dxfId="26">
      <pivotArea field="1" type="button" dataOnly="0" labelOnly="1" outline="0" fieldPosition="0"/>
    </format>
    <format dxfId="27">
      <pivotArea dataOnly="0" labelOnly="1" outline="0" fieldPosition="0"/>
    </format>
    <format dxfId="28">
      <pivotArea dataOnly="0" labelOnly="1" outline="0" fieldPosition="0">
        <references count="1">
          <reference field="1" count="5">
            <x v="98"/>
            <x v="101"/>
            <x v="147"/>
            <x v="277"/>
            <x v="294"/>
          </reference>
        </references>
      </pivotArea>
    </format>
    <format dxfId="29">
      <pivotArea dataOnly="0" labelOnly="1" grandRow="1" outline="0" fieldPosition="0"/>
    </format>
    <format dxfId="30">
      <pivotArea dataOnly="0" labelOnly="1" outline="0" fieldPosition="0"/>
    </format>
    <format dxfId="31">
      <pivotArea grandRow="1" outline="0" collapsedLevelsAreSubtotals="1" fieldPosition="0"/>
    </format>
    <format dxfId="32">
      <pivotArea dataOnly="0" labelOnly="1" grandRow="1" outline="0" fieldPosition="0"/>
    </format>
    <format dxfId="33">
      <pivotArea dataOnly="0" labelOnly="1" outline="0" fieldPosition="0">
        <references count="1">
          <reference field="1" count="1">
            <x v="147"/>
          </reference>
        </references>
      </pivotArea>
    </format>
    <format dxfId="34">
      <pivotArea dataOnly="0" labelOnly="1" outline="0" fieldPosition="0">
        <references count="1">
          <reference field="1" count="5">
            <x v="98"/>
            <x v="101"/>
            <x v="147"/>
            <x v="277"/>
            <x v="294"/>
          </reference>
        </references>
      </pivotArea>
    </format>
    <format dxfId="35">
      <pivotArea grandRow="1" outline="0" collapsedLevelsAreSubtotals="1" fieldPosition="0"/>
    </format>
  </formats>
  <pivotTableStyleInfo name="PivotStyleLight16" showRowHeaders="1" showColHeaders="1" showLastColumn="1"/>
  <filters count="1">
    <filter evalOrder="-1" fld="1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 chartFormat="4">
  <location ref="D4:E9" firstHeaderRow="1" firstDataRow="1" firstDataCol="1"/>
  <pivotFields count="14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/>
    <pivotField compact="0" showAll="0"/>
    <pivotField compact="0" showAll="0">
      <items count="6">
        <item x="4"/>
        <item x="1"/>
        <item x="2"/>
        <item x="3"/>
        <item x="0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6">
        <item x="11"/>
        <item x="10"/>
        <item x="9"/>
        <item x="1"/>
        <item x="4"/>
        <item x="7"/>
        <item x="0"/>
        <item x="6"/>
        <item x="5"/>
        <item x="3"/>
        <item x="8"/>
        <item x="13"/>
        <item x="2"/>
        <item x="12"/>
        <item x="14"/>
        <item t="default"/>
      </items>
    </pivotField>
    <pivotField compact="0" showAll="0">
      <items count="6">
        <item x="2"/>
        <item x="3"/>
        <item x="1"/>
        <item x="4"/>
        <item x="0"/>
        <item t="default"/>
      </items>
    </pivotField>
    <pivotField compact="0" showAll="0"/>
    <pivotField compact="0" showAll="0">
      <items count="760">
        <item x="727"/>
        <item x="538"/>
        <item x="730"/>
        <item x="81"/>
        <item x="628"/>
        <item x="36"/>
        <item x="193"/>
        <item x="175"/>
        <item x="732"/>
        <item x="461"/>
        <item x="651"/>
        <item x="74"/>
        <item x="638"/>
        <item x="6"/>
        <item x="362"/>
        <item x="708"/>
        <item x="518"/>
        <item x="571"/>
        <item x="536"/>
        <item x="740"/>
        <item x="374"/>
        <item x="354"/>
        <item x="552"/>
        <item x="268"/>
        <item x="658"/>
        <item x="560"/>
        <item x="558"/>
        <item x="721"/>
        <item x="548"/>
        <item x="384"/>
        <item x="635"/>
        <item x="188"/>
        <item x="273"/>
        <item x="640"/>
        <item x="229"/>
        <item x="46"/>
        <item x="28"/>
        <item x="290"/>
        <item x="340"/>
        <item x="165"/>
        <item x="244"/>
        <item x="176"/>
        <item x="129"/>
        <item x="711"/>
        <item x="125"/>
        <item x="557"/>
        <item x="194"/>
        <item x="529"/>
        <item x="642"/>
        <item x="504"/>
        <item x="104"/>
        <item x="5"/>
        <item x="486"/>
        <item x="574"/>
        <item x="382"/>
        <item x="525"/>
        <item x="724"/>
        <item x="254"/>
        <item x="592"/>
        <item x="698"/>
        <item x="736"/>
        <item x="688"/>
        <item x="445"/>
        <item x="225"/>
        <item x="580"/>
        <item x="421"/>
        <item x="615"/>
        <item x="581"/>
        <item x="393"/>
        <item x="746"/>
        <item x="701"/>
        <item x="741"/>
        <item x="649"/>
        <item x="55"/>
        <item x="328"/>
        <item x="748"/>
        <item x="113"/>
        <item x="283"/>
        <item x="43"/>
        <item x="744"/>
        <item x="397"/>
        <item x="102"/>
        <item x="572"/>
        <item x="391"/>
        <item x="52"/>
        <item x="706"/>
        <item x="535"/>
        <item x="339"/>
        <item x="180"/>
        <item x="187"/>
        <item x="639"/>
        <item x="119"/>
        <item x="213"/>
        <item x="621"/>
        <item x="65"/>
        <item x="539"/>
        <item x="662"/>
        <item x="94"/>
        <item x="66"/>
        <item x="378"/>
        <item x="9"/>
        <item x="154"/>
        <item x="396"/>
        <item x="369"/>
        <item x="494"/>
        <item x="228"/>
        <item x="429"/>
        <item x="256"/>
        <item x="51"/>
        <item x="566"/>
        <item x="116"/>
        <item x="377"/>
        <item x="140"/>
        <item x="12"/>
        <item x="245"/>
        <item x="404"/>
        <item x="270"/>
        <item x="138"/>
        <item x="251"/>
        <item x="553"/>
        <item x="530"/>
        <item x="379"/>
        <item x="257"/>
        <item x="671"/>
        <item x="511"/>
        <item x="192"/>
        <item x="389"/>
        <item x="183"/>
        <item x="48"/>
        <item x="21"/>
        <item x="363"/>
        <item x="217"/>
        <item x="666"/>
        <item x="492"/>
        <item x="381"/>
        <item x="475"/>
        <item x="29"/>
        <item x="276"/>
        <item x="579"/>
        <item x="650"/>
        <item x="196"/>
        <item x="100"/>
        <item x="582"/>
        <item x="346"/>
        <item x="388"/>
        <item x="96"/>
        <item x="300"/>
        <item x="705"/>
        <item x="540"/>
        <item x="654"/>
        <item x="513"/>
        <item x="95"/>
        <item x="427"/>
        <item x="333"/>
        <item x="210"/>
        <item x="190"/>
        <item x="758"/>
        <item x="141"/>
        <item x="499"/>
        <item x="207"/>
        <item x="249"/>
        <item x="570"/>
        <item x="312"/>
        <item x="324"/>
        <item x="647"/>
        <item x="304"/>
        <item x="17"/>
        <item x="480"/>
        <item x="457"/>
        <item x="585"/>
        <item x="501"/>
        <item x="514"/>
        <item x="157"/>
        <item x="280"/>
        <item x="648"/>
        <item x="334"/>
        <item x="170"/>
        <item x="476"/>
        <item x="361"/>
        <item x="509"/>
        <item x="262"/>
        <item x="93"/>
        <item x="757"/>
        <item x="286"/>
        <item x="31"/>
        <item x="82"/>
        <item x="410"/>
        <item x="401"/>
        <item x="368"/>
        <item x="166"/>
        <item x="299"/>
        <item x="201"/>
        <item x="57"/>
        <item x="426"/>
        <item x="683"/>
        <item x="39"/>
        <item x="329"/>
        <item x="498"/>
        <item x="23"/>
        <item x="714"/>
        <item x="342"/>
        <item x="294"/>
        <item x="127"/>
        <item x="675"/>
        <item x="124"/>
        <item x="160"/>
        <item x="408"/>
        <item x="469"/>
        <item x="728"/>
        <item x="528"/>
        <item x="738"/>
        <item x="184"/>
        <item x="223"/>
        <item x="681"/>
        <item x="306"/>
        <item x="619"/>
        <item x="551"/>
        <item x="258"/>
        <item x="364"/>
        <item x="453"/>
        <item x="171"/>
        <item x="462"/>
        <item x="684"/>
        <item x="471"/>
        <item x="573"/>
        <item x="237"/>
        <item x="755"/>
        <item x="718"/>
        <item x="347"/>
        <item x="151"/>
        <item x="181"/>
        <item x="203"/>
        <item x="260"/>
        <item x="200"/>
        <item x="327"/>
        <item x="263"/>
        <item x="275"/>
        <item x="456"/>
        <item x="79"/>
        <item x="169"/>
        <item x="287"/>
        <item x="437"/>
        <item x="411"/>
        <item x="358"/>
        <item x="424"/>
        <item x="282"/>
        <item x="266"/>
        <item x="484"/>
        <item x="85"/>
        <item x="344"/>
        <item x="454"/>
        <item x="239"/>
        <item x="680"/>
        <item x="83"/>
        <item x="284"/>
        <item x="137"/>
        <item x="446"/>
        <item x="134"/>
        <item x="70"/>
        <item x="466"/>
        <item x="704"/>
        <item x="604"/>
        <item x="63"/>
        <item x="84"/>
        <item x="664"/>
        <item x="726"/>
        <item x="76"/>
        <item x="243"/>
        <item x="546"/>
        <item x="689"/>
        <item x="390"/>
        <item x="412"/>
        <item x="27"/>
        <item x="297"/>
        <item x="149"/>
        <item x="512"/>
        <item x="32"/>
        <item x="586"/>
        <item x="2"/>
        <item x="700"/>
        <item x="451"/>
        <item x="660"/>
        <item x="569"/>
        <item x="216"/>
        <item x="674"/>
        <item x="743"/>
        <item x="605"/>
        <item x="338"/>
        <item x="315"/>
        <item x="182"/>
        <item x="612"/>
        <item x="526"/>
        <item x="331"/>
        <item x="147"/>
        <item x="380"/>
        <item x="418"/>
        <item x="631"/>
        <item x="614"/>
        <item x="240"/>
        <item x="308"/>
        <item x="353"/>
        <item x="110"/>
        <item x="271"/>
        <item x="517"/>
        <item x="11"/>
        <item x="281"/>
        <item x="477"/>
        <item x="496"/>
        <item x="482"/>
        <item x="568"/>
        <item x="250"/>
        <item x="395"/>
        <item x="161"/>
        <item x="349"/>
        <item x="387"/>
        <item x="419"/>
        <item x="729"/>
        <item x="415"/>
        <item x="56"/>
        <item x="341"/>
        <item x="155"/>
        <item x="335"/>
        <item x="144"/>
        <item x="590"/>
        <item x="468"/>
        <item x="622"/>
        <item x="92"/>
        <item x="507"/>
        <item x="533"/>
        <item x="686"/>
        <item x="150"/>
        <item x="610"/>
        <item x="185"/>
        <item x="173"/>
        <item x="633"/>
        <item x="491"/>
        <item x="115"/>
        <item x="371"/>
        <item x="682"/>
        <item x="563"/>
        <item x="337"/>
        <item x="753"/>
        <item x="567"/>
        <item x="146"/>
        <item x="722"/>
        <item x="195"/>
        <item x="406"/>
        <item x="519"/>
        <item x="576"/>
        <item x="629"/>
        <item x="15"/>
        <item x="139"/>
        <item x="355"/>
        <item x="121"/>
        <item x="510"/>
        <item x="71"/>
        <item x="699"/>
        <item x="549"/>
        <item x="607"/>
        <item x="211"/>
        <item x="199"/>
        <item x="399"/>
        <item x="669"/>
        <item x="719"/>
        <item x="532"/>
        <item x="0"/>
        <item x="392"/>
        <item x="645"/>
        <item x="295"/>
        <item x="247"/>
        <item x="634"/>
        <item x="707"/>
        <item x="67"/>
        <item x="383"/>
        <item x="439"/>
        <item x="597"/>
        <item x="54"/>
        <item x="30"/>
        <item x="594"/>
        <item x="372"/>
        <item x="22"/>
        <item x="676"/>
        <item x="330"/>
        <item x="523"/>
        <item x="430"/>
        <item x="158"/>
        <item x="205"/>
        <item x="643"/>
        <item x="646"/>
        <item x="376"/>
        <item x="655"/>
        <item x="386"/>
        <item x="712"/>
        <item x="164"/>
        <item x="447"/>
        <item x="16"/>
        <item x="756"/>
        <item x="261"/>
        <item x="14"/>
        <item x="8"/>
        <item x="80"/>
        <item x="97"/>
        <item x="60"/>
        <item x="394"/>
        <item x="505"/>
        <item x="90"/>
        <item x="45"/>
        <item x="561"/>
        <item x="89"/>
        <item x="13"/>
        <item x="105"/>
        <item x="293"/>
        <item x="734"/>
        <item x="62"/>
        <item x="433"/>
        <item x="474"/>
        <item x="148"/>
        <item x="253"/>
        <item x="224"/>
        <item x="348"/>
        <item x="359"/>
        <item x="595"/>
        <item x="516"/>
        <item x="313"/>
        <item x="296"/>
        <item x="656"/>
        <item x="98"/>
        <item x="575"/>
        <item x="565"/>
        <item x="18"/>
        <item x="88"/>
        <item x="135"/>
        <item x="422"/>
        <item x="214"/>
        <item x="246"/>
        <item x="109"/>
        <item x="495"/>
        <item x="747"/>
        <item x="485"/>
        <item x="434"/>
        <item x="441"/>
        <item x="234"/>
        <item x="613"/>
        <item x="236"/>
        <item x="40"/>
        <item x="460"/>
        <item x="679"/>
        <item x="202"/>
        <item x="450"/>
        <item x="242"/>
        <item x="163"/>
        <item x="314"/>
        <item x="318"/>
        <item x="587"/>
        <item x="473"/>
        <item x="99"/>
        <item x="416"/>
        <item x="481"/>
        <item x="524"/>
        <item x="132"/>
        <item x="19"/>
        <item x="443"/>
        <item x="742"/>
        <item x="143"/>
        <item x="703"/>
        <item x="279"/>
        <item x="153"/>
        <item x="467"/>
        <item x="463"/>
        <item x="370"/>
        <item x="357"/>
        <item x="603"/>
        <item x="678"/>
        <item x="321"/>
        <item x="3"/>
        <item x="1"/>
        <item x="53"/>
        <item x="126"/>
        <item x="241"/>
        <item x="38"/>
        <item x="307"/>
        <item x="219"/>
        <item x="723"/>
        <item x="311"/>
        <item x="465"/>
        <item x="432"/>
        <item x="487"/>
        <item x="305"/>
        <item x="632"/>
        <item x="420"/>
        <item x="343"/>
        <item x="118"/>
        <item x="577"/>
        <item x="252"/>
        <item x="145"/>
        <item x="497"/>
        <item x="272"/>
        <item x="625"/>
        <item x="20"/>
        <item x="298"/>
        <item x="403"/>
        <item x="69"/>
        <item x="444"/>
        <item x="637"/>
        <item x="483"/>
        <item x="326"/>
        <item x="670"/>
        <item x="218"/>
        <item x="428"/>
        <item x="449"/>
        <item x="506"/>
        <item x="543"/>
        <item x="672"/>
        <item x="177"/>
        <item x="59"/>
        <item x="584"/>
        <item x="222"/>
        <item x="717"/>
        <item x="269"/>
        <item x="697"/>
        <item x="73"/>
        <item x="289"/>
        <item x="490"/>
        <item x="503"/>
        <item x="44"/>
        <item x="534"/>
        <item x="267"/>
        <item x="231"/>
        <item x="550"/>
        <item x="366"/>
        <item x="230"/>
        <item x="108"/>
        <item x="425"/>
        <item x="593"/>
        <item x="375"/>
        <item x="25"/>
        <item x="277"/>
        <item x="616"/>
        <item x="75"/>
        <item x="316"/>
        <item x="737"/>
        <item x="319"/>
        <item x="713"/>
        <item x="255"/>
        <item x="103"/>
        <item x="323"/>
        <item x="189"/>
        <item x="42"/>
        <item x="661"/>
        <item x="488"/>
        <item x="179"/>
        <item x="47"/>
        <item x="232"/>
        <item x="440"/>
        <item x="152"/>
        <item x="710"/>
        <item x="659"/>
        <item x="620"/>
        <item x="409"/>
        <item x="87"/>
        <item x="112"/>
        <item x="694"/>
        <item x="715"/>
        <item x="303"/>
        <item x="562"/>
        <item x="623"/>
        <item x="601"/>
        <item x="749"/>
        <item x="221"/>
        <item x="206"/>
        <item x="541"/>
        <item x="544"/>
        <item x="24"/>
        <item x="508"/>
        <item x="34"/>
        <item x="352"/>
        <item x="641"/>
        <item x="345"/>
        <item x="702"/>
        <item x="464"/>
        <item x="208"/>
        <item x="174"/>
        <item x="332"/>
        <item x="301"/>
        <item x="618"/>
        <item x="739"/>
        <item x="264"/>
        <item x="41"/>
        <item x="588"/>
        <item x="624"/>
        <item x="336"/>
        <item x="198"/>
        <item x="61"/>
        <item x="49"/>
        <item x="630"/>
        <item x="405"/>
        <item x="91"/>
        <item x="317"/>
        <item x="693"/>
        <item x="50"/>
        <item x="259"/>
        <item x="178"/>
        <item x="309"/>
        <item x="720"/>
        <item x="156"/>
        <item x="162"/>
        <item x="556"/>
        <item x="310"/>
        <item x="204"/>
        <item x="657"/>
        <item x="186"/>
        <item x="545"/>
        <item x="191"/>
        <item x="589"/>
        <item x="600"/>
        <item x="233"/>
        <item x="472"/>
        <item x="58"/>
        <item x="285"/>
        <item x="238"/>
        <item x="167"/>
        <item x="122"/>
        <item x="493"/>
        <item x="77"/>
        <item x="685"/>
        <item x="690"/>
        <item x="479"/>
        <item x="602"/>
        <item x="123"/>
        <item x="227"/>
        <item x="591"/>
        <item x="448"/>
        <item x="322"/>
        <item x="636"/>
        <item x="235"/>
        <item x="692"/>
        <item x="752"/>
        <item x="128"/>
        <item x="438"/>
        <item x="531"/>
        <item x="64"/>
        <item x="367"/>
        <item x="583"/>
        <item x="564"/>
        <item x="455"/>
        <item x="320"/>
        <item x="611"/>
        <item x="745"/>
        <item x="417"/>
        <item x="325"/>
        <item x="278"/>
        <item x="212"/>
        <item x="559"/>
        <item x="452"/>
        <item x="423"/>
        <item x="274"/>
        <item x="172"/>
        <item x="72"/>
        <item x="696"/>
        <item x="458"/>
        <item x="665"/>
        <item x="400"/>
        <item x="609"/>
        <item x="627"/>
        <item x="142"/>
        <item x="435"/>
        <item x="687"/>
        <item x="209"/>
        <item x="663"/>
        <item x="136"/>
        <item x="291"/>
        <item x="652"/>
        <item x="402"/>
        <item x="733"/>
        <item x="33"/>
        <item x="667"/>
        <item x="248"/>
        <item x="751"/>
        <item x="413"/>
        <item x="527"/>
        <item x="735"/>
        <item x="691"/>
        <item x="350"/>
        <item x="111"/>
        <item x="677"/>
        <item x="265"/>
        <item x="542"/>
        <item x="7"/>
        <item x="302"/>
        <item x="107"/>
        <item x="555"/>
        <item x="288"/>
        <item x="470"/>
        <item x="68"/>
        <item x="709"/>
        <item x="385"/>
        <item x="168"/>
        <item x="547"/>
        <item x="398"/>
        <item x="653"/>
        <item x="117"/>
        <item x="360"/>
        <item x="731"/>
        <item x="351"/>
        <item x="114"/>
        <item x="515"/>
        <item x="35"/>
        <item x="626"/>
        <item x="554"/>
        <item x="695"/>
        <item x="10"/>
        <item x="159"/>
        <item x="120"/>
        <item x="500"/>
        <item x="101"/>
        <item x="578"/>
        <item x="598"/>
        <item x="668"/>
        <item x="365"/>
        <item x="673"/>
        <item x="608"/>
        <item x="407"/>
        <item x="617"/>
        <item x="442"/>
        <item x="414"/>
        <item x="4"/>
        <item x="754"/>
        <item x="292"/>
        <item x="26"/>
        <item x="521"/>
        <item x="37"/>
        <item x="226"/>
        <item x="78"/>
        <item x="356"/>
        <item x="596"/>
        <item x="86"/>
        <item x="522"/>
        <item x="725"/>
        <item x="197"/>
        <item x="215"/>
        <item x="537"/>
        <item x="489"/>
        <item x="750"/>
        <item x="478"/>
        <item x="520"/>
        <item x="131"/>
        <item x="606"/>
        <item x="599"/>
        <item x="106"/>
        <item x="373"/>
        <item x="431"/>
        <item x="436"/>
        <item x="133"/>
        <item x="502"/>
        <item x="644"/>
        <item x="716"/>
        <item x="459"/>
        <item x="220"/>
        <item x="130"/>
        <item t="default"/>
      </items>
    </pivotField>
    <pivotField compact="0" showAll="0"/>
    <pivotField compact="0" showAll="0">
      <items count="721">
        <item x="36"/>
        <item x="689"/>
        <item x="616"/>
        <item x="345"/>
        <item x="435"/>
        <item x="454"/>
        <item x="520"/>
        <item x="490"/>
        <item x="693"/>
        <item x="6"/>
        <item x="182"/>
        <item x="72"/>
        <item x="292"/>
        <item x="79"/>
        <item x="597"/>
        <item x="220"/>
        <item x="119"/>
        <item x="545"/>
        <item x="530"/>
        <item x="691"/>
        <item x="270"/>
        <item x="337"/>
        <item x="151"/>
        <item x="668"/>
        <item x="162"/>
        <item x="272"/>
        <item x="525"/>
        <item x="176"/>
        <item x="684"/>
        <item x="535"/>
        <item x="600"/>
        <item x="547"/>
        <item x="504"/>
        <item x="390"/>
        <item x="258"/>
        <item x="661"/>
        <item x="105"/>
        <item x="708"/>
        <item x="621"/>
        <item x="52"/>
        <item x="174"/>
        <item x="357"/>
        <item x="116"/>
        <item x="327"/>
        <item x="681"/>
        <item x="218"/>
        <item x="369"/>
        <item x="129"/>
        <item x="91"/>
        <item x="167"/>
        <item x="578"/>
        <item x="65"/>
        <item x="465"/>
        <item x="5"/>
        <item x="46"/>
        <item x="28"/>
        <item x="540"/>
        <item x="274"/>
        <item x="215"/>
        <item x="234"/>
        <item x="476"/>
        <item x="142"/>
        <item x="602"/>
        <item x="358"/>
        <item x="263"/>
        <item x="264"/>
        <item x="235"/>
        <item x="163"/>
        <item x="314"/>
        <item x="449"/>
        <item x="612"/>
        <item x="655"/>
        <item x="319"/>
        <item x="367"/>
        <item x="338"/>
        <item x="697"/>
        <item x="295"/>
        <item x="43"/>
        <item x="183"/>
        <item x="21"/>
        <item x="365"/>
        <item x="629"/>
        <item x="652"/>
        <item x="713"/>
        <item x="377"/>
        <item x="12"/>
        <item x="618"/>
        <item x="189"/>
        <item x="702"/>
        <item x="175"/>
        <item x="219"/>
        <item x="633"/>
        <item x="649"/>
        <item x="9"/>
        <item x="355"/>
        <item x="202"/>
        <item x="376"/>
        <item x="55"/>
        <item x="180"/>
        <item x="291"/>
        <item x="31"/>
        <item x="51"/>
        <item x="156"/>
        <item x="181"/>
        <item x="521"/>
        <item x="613"/>
        <item x="706"/>
        <item x="481"/>
        <item x="469"/>
        <item x="197"/>
        <item x="346"/>
        <item x="679"/>
        <item x="144"/>
        <item x="671"/>
        <item x="23"/>
        <item x="351"/>
        <item x="457"/>
        <item x="632"/>
        <item x="506"/>
        <item x="107"/>
        <item x="57"/>
        <item x="436"/>
        <item x="260"/>
        <item x="514"/>
        <item x="446"/>
        <item x="29"/>
        <item x="642"/>
        <item x="586"/>
        <item x="601"/>
        <item x="287"/>
        <item x="247"/>
        <item x="348"/>
        <item x="184"/>
        <item x="499"/>
        <item x="66"/>
        <item x="171"/>
        <item x="239"/>
        <item x="445"/>
        <item x="650"/>
        <item x="519"/>
        <item x="246"/>
        <item x="396"/>
        <item x="664"/>
        <item x="486"/>
        <item x="254"/>
        <item x="170"/>
        <item x="362"/>
        <item x="379"/>
        <item x="48"/>
        <item x="429"/>
        <item x="242"/>
        <item x="139"/>
        <item x="471"/>
        <item x="719"/>
        <item x="614"/>
        <item x="74"/>
        <item x="498"/>
        <item x="591"/>
        <item x="394"/>
        <item x="639"/>
        <item x="236"/>
        <item x="39"/>
        <item x="117"/>
        <item x="253"/>
        <item x="304"/>
        <item x="605"/>
        <item x="609"/>
        <item x="628"/>
        <item x="434"/>
        <item x="625"/>
        <item x="178"/>
        <item x="323"/>
        <item x="676"/>
        <item x="152"/>
        <item x="209"/>
        <item x="80"/>
        <item x="17"/>
        <item x="155"/>
        <item x="593"/>
        <item x="478"/>
        <item x="92"/>
        <item x="81"/>
        <item x="641"/>
        <item x="248"/>
        <item x="90"/>
        <item x="507"/>
        <item x="130"/>
        <item x="343"/>
        <item x="273"/>
        <item x="687"/>
        <item x="417"/>
        <item x="27"/>
        <item x="306"/>
        <item x="146"/>
        <item x="539"/>
        <item x="487"/>
        <item x="124"/>
        <item x="333"/>
        <item x="363"/>
        <item x="450"/>
        <item x="277"/>
        <item x="278"/>
        <item x="443"/>
        <item x="271"/>
        <item x="373"/>
        <item x="532"/>
        <item x="651"/>
        <item x="82"/>
        <item x="484"/>
        <item x="356"/>
        <item x="63"/>
        <item x="485"/>
        <item x="468"/>
        <item x="290"/>
        <item x="298"/>
        <item x="11"/>
        <item x="230"/>
        <item x="261"/>
        <item x="494"/>
        <item x="482"/>
        <item x="375"/>
        <item x="320"/>
        <item x="127"/>
        <item x="718"/>
        <item x="426"/>
        <item x="646"/>
        <item x="405"/>
        <item x="0"/>
        <item x="192"/>
        <item x="288"/>
        <item x="115"/>
        <item x="147"/>
        <item x="690"/>
        <item x="77"/>
        <item x="553"/>
        <item x="168"/>
        <item x="150"/>
        <item x="322"/>
        <item x="636"/>
        <item x="317"/>
        <item x="56"/>
        <item x="240"/>
        <item x="237"/>
        <item x="86"/>
        <item x="400"/>
        <item x="313"/>
        <item x="401"/>
        <item x="69"/>
        <item x="158"/>
        <item x="188"/>
        <item x="698"/>
        <item x="213"/>
        <item x="384"/>
        <item x="157"/>
        <item x="200"/>
        <item x="562"/>
        <item x="453"/>
        <item x="424"/>
        <item x="251"/>
        <item x="644"/>
        <item x="489"/>
        <item x="89"/>
        <item x="227"/>
        <item x="228"/>
        <item x="596"/>
        <item x="575"/>
        <item x="473"/>
        <item x="680"/>
        <item x="30"/>
        <item x="410"/>
        <item x="191"/>
        <item x="8"/>
        <item x="517"/>
        <item x="383"/>
        <item x="125"/>
        <item x="94"/>
        <item x="643"/>
        <item x="441"/>
        <item x="389"/>
        <item x="371"/>
        <item x="427"/>
        <item x="205"/>
        <item x="710"/>
        <item x="331"/>
        <item x="716"/>
        <item x="18"/>
        <item x="78"/>
        <item x="607"/>
        <item x="325"/>
        <item x="557"/>
        <item x="603"/>
        <item x="364"/>
        <item x="515"/>
        <item x="109"/>
        <item x="14"/>
        <item x="380"/>
        <item x="574"/>
        <item x="169"/>
        <item x="45"/>
        <item x="513"/>
        <item x="137"/>
        <item x="439"/>
        <item x="437"/>
        <item x="340"/>
        <item x="97"/>
        <item x="233"/>
        <item x="87"/>
        <item x="585"/>
        <item x="329"/>
        <item x="203"/>
        <item x="344"/>
        <item x="265"/>
        <item x="360"/>
        <item x="448"/>
        <item x="301"/>
        <item x="701"/>
        <item x="60"/>
        <item x="496"/>
        <item x="407"/>
        <item x="208"/>
        <item x="526"/>
        <item x="133"/>
        <item x="677"/>
        <item x="438"/>
        <item x="231"/>
        <item x="500"/>
        <item x="305"/>
        <item x="201"/>
        <item x="640"/>
        <item x="135"/>
        <item x="141"/>
        <item x="388"/>
        <item x="102"/>
        <item x="316"/>
        <item x="2"/>
        <item x="627"/>
        <item x="172"/>
        <item x="32"/>
        <item x="38"/>
        <item x="411"/>
        <item x="352"/>
        <item x="483"/>
        <item x="149"/>
        <item x="619"/>
        <item x="40"/>
        <item x="455"/>
        <item x="269"/>
        <item x="160"/>
        <item x="415"/>
        <item x="534"/>
        <item x="195"/>
        <item x="391"/>
        <item x="561"/>
        <item x="138"/>
        <item x="538"/>
        <item x="136"/>
        <item x="717"/>
        <item x="466"/>
        <item x="408"/>
        <item x="542"/>
        <item x="463"/>
        <item x="444"/>
        <item x="653"/>
        <item x="241"/>
        <item x="673"/>
        <item x="688"/>
        <item x="93"/>
        <item x="568"/>
        <item x="164"/>
        <item x="418"/>
        <item x="503"/>
        <item x="563"/>
        <item x="85"/>
        <item x="393"/>
        <item x="22"/>
        <item x="555"/>
        <item x="350"/>
        <item x="510"/>
        <item x="166"/>
        <item x="13"/>
        <item x="399"/>
        <item x="577"/>
        <item x="211"/>
        <item x="280"/>
        <item x="259"/>
        <item x="685"/>
        <item x="556"/>
        <item x="243"/>
        <item x="570"/>
        <item x="15"/>
        <item x="402"/>
        <item x="16"/>
        <item x="660"/>
        <item x="634"/>
        <item x="395"/>
        <item x="502"/>
        <item x="611"/>
        <item x="682"/>
        <item x="461"/>
        <item x="44"/>
        <item x="299"/>
        <item x="477"/>
        <item x="177"/>
        <item x="62"/>
        <item x="330"/>
        <item x="128"/>
        <item x="206"/>
        <item x="95"/>
        <item x="54"/>
        <item x="440"/>
        <item x="110"/>
        <item x="341"/>
        <item x="98"/>
        <item x="599"/>
        <item x="595"/>
        <item x="24"/>
        <item x="480"/>
        <item x="537"/>
        <item x="368"/>
        <item x="334"/>
        <item x="225"/>
        <item x="223"/>
        <item x="284"/>
        <item x="420"/>
        <item x="187"/>
        <item x="707"/>
        <item x="53"/>
        <item x="297"/>
        <item x="576"/>
        <item x="700"/>
        <item x="61"/>
        <item x="456"/>
        <item x="615"/>
        <item x="112"/>
        <item x="413"/>
        <item x="285"/>
        <item x="442"/>
        <item x="672"/>
        <item x="353"/>
        <item x="366"/>
        <item x="670"/>
        <item x="286"/>
        <item x="549"/>
        <item x="73"/>
        <item x="432"/>
        <item x="462"/>
        <item x="71"/>
        <item x="217"/>
        <item x="662"/>
        <item x="458"/>
        <item x="179"/>
        <item x="703"/>
        <item x="25"/>
        <item x="221"/>
        <item x="289"/>
        <item x="422"/>
        <item x="544"/>
        <item x="50"/>
        <item x="491"/>
        <item x="527"/>
        <item x="648"/>
        <item x="309"/>
        <item x="581"/>
        <item x="252"/>
        <item x="560"/>
        <item x="302"/>
        <item x="232"/>
        <item x="529"/>
        <item x="308"/>
        <item x="423"/>
        <item x="321"/>
        <item x="412"/>
        <item x="190"/>
        <item x="669"/>
        <item x="249"/>
        <item x="196"/>
        <item x="430"/>
        <item x="104"/>
        <item x="665"/>
        <item x="533"/>
        <item x="198"/>
        <item x="638"/>
        <item x="518"/>
        <item x="541"/>
        <item x="582"/>
        <item x="229"/>
        <item x="361"/>
        <item x="416"/>
        <item x="3"/>
        <item x="20"/>
        <item x="64"/>
        <item x="617"/>
        <item x="659"/>
        <item x="623"/>
        <item x="589"/>
        <item x="475"/>
        <item x="19"/>
        <item x="645"/>
        <item x="335"/>
        <item x="311"/>
        <item x="683"/>
        <item x="68"/>
        <item x="224"/>
        <item x="579"/>
        <item x="194"/>
        <item x="281"/>
        <item x="524"/>
        <item x="550"/>
        <item x="610"/>
        <item x="548"/>
        <item x="604"/>
        <item x="381"/>
        <item x="244"/>
        <item x="296"/>
        <item x="511"/>
        <item x="34"/>
        <item x="315"/>
        <item x="508"/>
        <item x="318"/>
        <item x="122"/>
        <item x="467"/>
        <item x="622"/>
        <item x="531"/>
        <item x="84"/>
        <item x="497"/>
        <item x="42"/>
        <item x="705"/>
        <item x="336"/>
        <item x="132"/>
        <item x="1"/>
        <item x="199"/>
        <item x="210"/>
        <item x="255"/>
        <item x="266"/>
        <item x="516"/>
        <item x="114"/>
        <item x="372"/>
        <item x="332"/>
        <item x="403"/>
        <item x="222"/>
        <item x="100"/>
        <item x="647"/>
        <item x="419"/>
        <item x="699"/>
        <item x="374"/>
        <item x="630"/>
        <item x="88"/>
        <item x="588"/>
        <item x="153"/>
        <item x="303"/>
        <item x="536"/>
        <item x="41"/>
        <item x="113"/>
        <item x="143"/>
        <item x="161"/>
        <item x="598"/>
        <item x="238"/>
        <item x="134"/>
        <item x="307"/>
        <item x="590"/>
        <item x="704"/>
        <item x="674"/>
        <item x="49"/>
        <item x="464"/>
        <item x="663"/>
        <item x="328"/>
        <item x="501"/>
        <item x="558"/>
        <item x="293"/>
        <item x="552"/>
        <item x="512"/>
        <item x="262"/>
        <item x="59"/>
        <item x="347"/>
        <item x="657"/>
        <item x="624"/>
        <item x="173"/>
        <item x="554"/>
        <item x="715"/>
        <item x="359"/>
        <item x="675"/>
        <item x="140"/>
        <item x="543"/>
        <item x="551"/>
        <item x="474"/>
        <item x="257"/>
        <item x="584"/>
        <item x="267"/>
        <item x="637"/>
        <item x="709"/>
        <item x="214"/>
        <item x="101"/>
        <item x="587"/>
        <item x="382"/>
        <item x="694"/>
        <item x="711"/>
        <item x="326"/>
        <item x="300"/>
        <item x="447"/>
        <item x="47"/>
        <item x="620"/>
        <item x="245"/>
        <item x="250"/>
        <item x="580"/>
        <item x="378"/>
        <item x="324"/>
        <item x="546"/>
        <item x="567"/>
        <item x="479"/>
        <item x="204"/>
        <item x="470"/>
        <item x="256"/>
        <item x="186"/>
        <item x="678"/>
        <item x="120"/>
        <item x="667"/>
        <item x="404"/>
        <item x="126"/>
        <item x="421"/>
        <item x="275"/>
        <item x="572"/>
        <item x="398"/>
        <item x="312"/>
        <item x="566"/>
        <item x="571"/>
        <item x="35"/>
        <item x="594"/>
        <item x="392"/>
        <item x="165"/>
        <item x="67"/>
        <item x="58"/>
        <item x="425"/>
        <item x="148"/>
        <item x="459"/>
        <item x="505"/>
        <item x="339"/>
        <item x="656"/>
        <item x="4"/>
        <item x="451"/>
        <item x="559"/>
        <item x="626"/>
        <item x="452"/>
        <item x="310"/>
        <item x="573"/>
        <item x="654"/>
        <item x="386"/>
        <item x="282"/>
        <item x="714"/>
        <item x="592"/>
        <item x="509"/>
        <item x="387"/>
        <item x="472"/>
        <item x="83"/>
        <item x="118"/>
        <item x="96"/>
        <item x="283"/>
        <item x="569"/>
        <item x="75"/>
        <item x="276"/>
        <item x="692"/>
        <item x="212"/>
        <item x="268"/>
        <item x="70"/>
        <item x="154"/>
        <item x="111"/>
        <item x="226"/>
        <item x="583"/>
        <item x="409"/>
        <item x="428"/>
        <item x="608"/>
        <item x="385"/>
        <item x="397"/>
        <item x="294"/>
        <item x="106"/>
        <item x="696"/>
        <item x="99"/>
        <item x="695"/>
        <item x="131"/>
        <item x="523"/>
        <item x="564"/>
        <item x="606"/>
        <item x="406"/>
        <item x="342"/>
        <item x="159"/>
        <item x="712"/>
        <item x="488"/>
        <item x="349"/>
        <item x="433"/>
        <item x="279"/>
        <item x="493"/>
        <item x="33"/>
        <item x="10"/>
        <item x="145"/>
        <item x="103"/>
        <item x="686"/>
        <item x="631"/>
        <item x="658"/>
        <item x="7"/>
        <item x="522"/>
        <item x="370"/>
        <item x="185"/>
        <item x="108"/>
        <item x="37"/>
        <item x="635"/>
        <item x="193"/>
        <item x="460"/>
        <item x="414"/>
        <item x="216"/>
        <item x="492"/>
        <item x="76"/>
        <item x="354"/>
        <item x="495"/>
        <item x="26"/>
        <item x="528"/>
        <item x="207"/>
        <item x="121"/>
        <item x="565"/>
        <item x="431"/>
        <item x="666"/>
        <item x="123"/>
        <item t="default"/>
      </items>
    </pivotField>
    <pivotField axis="axisRow" compact="0" showAll="0">
      <items count="5">
        <item x="0"/>
        <item x="3"/>
        <item x="1"/>
        <item x="2"/>
        <item t="default"/>
      </items>
    </pivotField>
    <pivotField compact="0" showAll="0"/>
    <pivotField compact="0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ransaction" fld="0" subtotal="count" baseField="11" baseItem="0"/>
  </dataFields>
  <formats count="16">
    <format dxfId="36">
      <pivotArea type="all" dataOnly="0" outline="0" fieldPosition="0"/>
    </format>
    <format dxfId="37">
      <pivotArea outline="0" collapsedLevelsAreSubtotals="1" fieldPosition="0"/>
    </format>
    <format dxfId="38">
      <pivotArea field="11" type="button" dataOnly="0" labelOnly="1" outline="0" fieldPosition="0"/>
    </format>
    <format dxfId="39">
      <pivotArea dataOnly="0" labelOnly="1" outline="0" fieldPosition="0"/>
    </format>
    <format dxfId="40">
      <pivotArea dataOnly="0" labelOnly="1" outline="0" fieldPosition="0">
        <references count="1">
          <reference field="11" count="0"/>
        </references>
      </pivotArea>
    </format>
    <format dxfId="41">
      <pivotArea dataOnly="0" labelOnly="1" grandRow="1" outline="0" fieldPosition="0"/>
    </format>
    <format dxfId="42">
      <pivotArea dataOnly="0" labelOnly="1" outline="0" fieldPosition="0"/>
    </format>
    <format dxfId="43">
      <pivotArea dataOnly="0" fieldPosition="0">
        <references count="1">
          <reference field="11" count="0"/>
        </references>
      </pivotArea>
    </format>
    <format dxfId="44">
      <pivotArea type="all" dataOnly="0" outline="0" fieldPosition="0"/>
    </format>
    <format dxfId="45">
      <pivotArea outline="0" collapsedLevelsAreSubtotals="1" fieldPosition="0"/>
    </format>
    <format dxfId="46">
      <pivotArea field="11" type="button" dataOnly="0" labelOnly="1" outline="0" fieldPosition="0"/>
    </format>
    <format dxfId="47">
      <pivotArea dataOnly="0" labelOnly="1" outline="0" fieldPosition="0"/>
    </format>
    <format dxfId="48">
      <pivotArea dataOnly="0" labelOnly="1" outline="0" fieldPosition="0">
        <references count="1">
          <reference field="11" count="0"/>
        </references>
      </pivotArea>
    </format>
    <format dxfId="49">
      <pivotArea dataOnly="0" labelOnly="1" grandRow="1" outline="0" fieldPosition="0"/>
    </format>
    <format dxfId="50">
      <pivotArea dataOnly="0" labelOnly="1" outline="0" fieldPosition="0"/>
    </format>
    <format dxfId="51">
      <pivotArea dataOnly="0" grandRow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 chartFormat="4">
  <location ref="A13:B18" firstHeaderRow="1" firstDataRow="1" firstDataCol="1"/>
  <pivotFields count="14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/>
    <pivotField compact="0" showAll="0"/>
    <pivotField compact="0" showAll="0">
      <items count="6">
        <item x="4"/>
        <item x="1"/>
        <item x="2"/>
        <item x="3"/>
        <item x="0"/>
        <item t="default"/>
      </items>
    </pivotField>
    <pivotField axis="axisRow" compact="0" showAll="0">
      <items count="5">
        <item x="1"/>
        <item x="2"/>
        <item x="0"/>
        <item x="3"/>
        <item t="default"/>
      </items>
    </pivotField>
    <pivotField compact="0" showAll="0">
      <items count="16">
        <item x="11"/>
        <item x="10"/>
        <item x="9"/>
        <item x="1"/>
        <item x="4"/>
        <item x="7"/>
        <item x="0"/>
        <item x="6"/>
        <item x="5"/>
        <item x="3"/>
        <item x="8"/>
        <item x="13"/>
        <item x="2"/>
        <item x="12"/>
        <item x="14"/>
        <item t="default"/>
      </items>
    </pivotField>
    <pivotField compact="0" showAll="0">
      <items count="6">
        <item x="2"/>
        <item x="3"/>
        <item x="1"/>
        <item x="4"/>
        <item x="0"/>
        <item t="default"/>
      </items>
    </pivotField>
    <pivotField compact="0" showAll="0"/>
    <pivotField compact="0" showAll="0">
      <items count="760">
        <item x="727"/>
        <item x="538"/>
        <item x="730"/>
        <item x="81"/>
        <item x="628"/>
        <item x="36"/>
        <item x="193"/>
        <item x="175"/>
        <item x="732"/>
        <item x="461"/>
        <item x="651"/>
        <item x="74"/>
        <item x="638"/>
        <item x="6"/>
        <item x="362"/>
        <item x="708"/>
        <item x="518"/>
        <item x="571"/>
        <item x="536"/>
        <item x="740"/>
        <item x="374"/>
        <item x="354"/>
        <item x="552"/>
        <item x="268"/>
        <item x="658"/>
        <item x="560"/>
        <item x="558"/>
        <item x="721"/>
        <item x="548"/>
        <item x="384"/>
        <item x="635"/>
        <item x="188"/>
        <item x="273"/>
        <item x="640"/>
        <item x="229"/>
        <item x="46"/>
        <item x="28"/>
        <item x="290"/>
        <item x="340"/>
        <item x="165"/>
        <item x="244"/>
        <item x="176"/>
        <item x="129"/>
        <item x="711"/>
        <item x="125"/>
        <item x="557"/>
        <item x="194"/>
        <item x="529"/>
        <item x="642"/>
        <item x="504"/>
        <item x="104"/>
        <item x="5"/>
        <item x="486"/>
        <item x="574"/>
        <item x="382"/>
        <item x="525"/>
        <item x="724"/>
        <item x="254"/>
        <item x="592"/>
        <item x="698"/>
        <item x="736"/>
        <item x="688"/>
        <item x="445"/>
        <item x="225"/>
        <item x="580"/>
        <item x="421"/>
        <item x="615"/>
        <item x="581"/>
        <item x="393"/>
        <item x="746"/>
        <item x="701"/>
        <item x="741"/>
        <item x="649"/>
        <item x="55"/>
        <item x="328"/>
        <item x="748"/>
        <item x="113"/>
        <item x="283"/>
        <item x="43"/>
        <item x="744"/>
        <item x="397"/>
        <item x="102"/>
        <item x="572"/>
        <item x="391"/>
        <item x="52"/>
        <item x="706"/>
        <item x="535"/>
        <item x="339"/>
        <item x="180"/>
        <item x="187"/>
        <item x="639"/>
        <item x="119"/>
        <item x="213"/>
        <item x="621"/>
        <item x="65"/>
        <item x="539"/>
        <item x="662"/>
        <item x="94"/>
        <item x="66"/>
        <item x="378"/>
        <item x="9"/>
        <item x="154"/>
        <item x="396"/>
        <item x="369"/>
        <item x="494"/>
        <item x="228"/>
        <item x="429"/>
        <item x="256"/>
        <item x="51"/>
        <item x="566"/>
        <item x="116"/>
        <item x="377"/>
        <item x="140"/>
        <item x="12"/>
        <item x="245"/>
        <item x="404"/>
        <item x="270"/>
        <item x="138"/>
        <item x="251"/>
        <item x="553"/>
        <item x="530"/>
        <item x="379"/>
        <item x="257"/>
        <item x="671"/>
        <item x="511"/>
        <item x="192"/>
        <item x="389"/>
        <item x="183"/>
        <item x="48"/>
        <item x="21"/>
        <item x="363"/>
        <item x="217"/>
        <item x="666"/>
        <item x="492"/>
        <item x="381"/>
        <item x="475"/>
        <item x="29"/>
        <item x="276"/>
        <item x="579"/>
        <item x="650"/>
        <item x="196"/>
        <item x="100"/>
        <item x="582"/>
        <item x="346"/>
        <item x="388"/>
        <item x="96"/>
        <item x="300"/>
        <item x="705"/>
        <item x="540"/>
        <item x="654"/>
        <item x="513"/>
        <item x="95"/>
        <item x="427"/>
        <item x="333"/>
        <item x="210"/>
        <item x="190"/>
        <item x="758"/>
        <item x="141"/>
        <item x="499"/>
        <item x="207"/>
        <item x="249"/>
        <item x="570"/>
        <item x="312"/>
        <item x="324"/>
        <item x="647"/>
        <item x="304"/>
        <item x="17"/>
        <item x="480"/>
        <item x="457"/>
        <item x="585"/>
        <item x="501"/>
        <item x="514"/>
        <item x="157"/>
        <item x="280"/>
        <item x="648"/>
        <item x="334"/>
        <item x="170"/>
        <item x="476"/>
        <item x="361"/>
        <item x="509"/>
        <item x="262"/>
        <item x="93"/>
        <item x="757"/>
        <item x="286"/>
        <item x="31"/>
        <item x="82"/>
        <item x="410"/>
        <item x="401"/>
        <item x="368"/>
        <item x="166"/>
        <item x="299"/>
        <item x="201"/>
        <item x="57"/>
        <item x="426"/>
        <item x="683"/>
        <item x="39"/>
        <item x="329"/>
        <item x="498"/>
        <item x="23"/>
        <item x="714"/>
        <item x="342"/>
        <item x="294"/>
        <item x="127"/>
        <item x="675"/>
        <item x="124"/>
        <item x="160"/>
        <item x="408"/>
        <item x="469"/>
        <item x="728"/>
        <item x="528"/>
        <item x="738"/>
        <item x="184"/>
        <item x="223"/>
        <item x="681"/>
        <item x="306"/>
        <item x="619"/>
        <item x="551"/>
        <item x="258"/>
        <item x="364"/>
        <item x="453"/>
        <item x="171"/>
        <item x="462"/>
        <item x="684"/>
        <item x="471"/>
        <item x="573"/>
        <item x="237"/>
        <item x="755"/>
        <item x="718"/>
        <item x="347"/>
        <item x="151"/>
        <item x="181"/>
        <item x="203"/>
        <item x="260"/>
        <item x="200"/>
        <item x="327"/>
        <item x="263"/>
        <item x="275"/>
        <item x="456"/>
        <item x="79"/>
        <item x="169"/>
        <item x="287"/>
        <item x="437"/>
        <item x="411"/>
        <item x="358"/>
        <item x="424"/>
        <item x="282"/>
        <item x="266"/>
        <item x="484"/>
        <item x="85"/>
        <item x="344"/>
        <item x="454"/>
        <item x="239"/>
        <item x="680"/>
        <item x="83"/>
        <item x="284"/>
        <item x="137"/>
        <item x="446"/>
        <item x="134"/>
        <item x="70"/>
        <item x="466"/>
        <item x="704"/>
        <item x="604"/>
        <item x="63"/>
        <item x="84"/>
        <item x="664"/>
        <item x="726"/>
        <item x="76"/>
        <item x="243"/>
        <item x="546"/>
        <item x="689"/>
        <item x="390"/>
        <item x="412"/>
        <item x="27"/>
        <item x="297"/>
        <item x="149"/>
        <item x="512"/>
        <item x="32"/>
        <item x="586"/>
        <item x="2"/>
        <item x="700"/>
        <item x="451"/>
        <item x="660"/>
        <item x="569"/>
        <item x="216"/>
        <item x="674"/>
        <item x="743"/>
        <item x="605"/>
        <item x="338"/>
        <item x="315"/>
        <item x="182"/>
        <item x="612"/>
        <item x="526"/>
        <item x="331"/>
        <item x="147"/>
        <item x="380"/>
        <item x="418"/>
        <item x="631"/>
        <item x="614"/>
        <item x="240"/>
        <item x="308"/>
        <item x="353"/>
        <item x="110"/>
        <item x="271"/>
        <item x="517"/>
        <item x="11"/>
        <item x="281"/>
        <item x="477"/>
        <item x="496"/>
        <item x="482"/>
        <item x="568"/>
        <item x="250"/>
        <item x="395"/>
        <item x="161"/>
        <item x="349"/>
        <item x="387"/>
        <item x="419"/>
        <item x="729"/>
        <item x="415"/>
        <item x="56"/>
        <item x="341"/>
        <item x="155"/>
        <item x="335"/>
        <item x="144"/>
        <item x="590"/>
        <item x="468"/>
        <item x="622"/>
        <item x="92"/>
        <item x="507"/>
        <item x="533"/>
        <item x="686"/>
        <item x="150"/>
        <item x="610"/>
        <item x="185"/>
        <item x="173"/>
        <item x="633"/>
        <item x="491"/>
        <item x="115"/>
        <item x="371"/>
        <item x="682"/>
        <item x="563"/>
        <item x="337"/>
        <item x="753"/>
        <item x="567"/>
        <item x="146"/>
        <item x="722"/>
        <item x="195"/>
        <item x="406"/>
        <item x="519"/>
        <item x="576"/>
        <item x="629"/>
        <item x="15"/>
        <item x="139"/>
        <item x="355"/>
        <item x="121"/>
        <item x="510"/>
        <item x="71"/>
        <item x="699"/>
        <item x="549"/>
        <item x="607"/>
        <item x="211"/>
        <item x="199"/>
        <item x="399"/>
        <item x="669"/>
        <item x="719"/>
        <item x="532"/>
        <item x="0"/>
        <item x="392"/>
        <item x="645"/>
        <item x="295"/>
        <item x="247"/>
        <item x="634"/>
        <item x="707"/>
        <item x="67"/>
        <item x="383"/>
        <item x="439"/>
        <item x="597"/>
        <item x="54"/>
        <item x="30"/>
        <item x="594"/>
        <item x="372"/>
        <item x="22"/>
        <item x="676"/>
        <item x="330"/>
        <item x="523"/>
        <item x="430"/>
        <item x="158"/>
        <item x="205"/>
        <item x="643"/>
        <item x="646"/>
        <item x="376"/>
        <item x="655"/>
        <item x="386"/>
        <item x="712"/>
        <item x="164"/>
        <item x="447"/>
        <item x="16"/>
        <item x="756"/>
        <item x="261"/>
        <item x="14"/>
        <item x="8"/>
        <item x="80"/>
        <item x="97"/>
        <item x="60"/>
        <item x="394"/>
        <item x="505"/>
        <item x="90"/>
        <item x="45"/>
        <item x="561"/>
        <item x="89"/>
        <item x="13"/>
        <item x="105"/>
        <item x="293"/>
        <item x="734"/>
        <item x="62"/>
        <item x="433"/>
        <item x="474"/>
        <item x="148"/>
        <item x="253"/>
        <item x="224"/>
        <item x="348"/>
        <item x="359"/>
        <item x="595"/>
        <item x="516"/>
        <item x="313"/>
        <item x="296"/>
        <item x="656"/>
        <item x="98"/>
        <item x="575"/>
        <item x="565"/>
        <item x="18"/>
        <item x="88"/>
        <item x="135"/>
        <item x="422"/>
        <item x="214"/>
        <item x="246"/>
        <item x="109"/>
        <item x="495"/>
        <item x="747"/>
        <item x="485"/>
        <item x="434"/>
        <item x="441"/>
        <item x="234"/>
        <item x="613"/>
        <item x="236"/>
        <item x="40"/>
        <item x="460"/>
        <item x="679"/>
        <item x="202"/>
        <item x="450"/>
        <item x="242"/>
        <item x="163"/>
        <item x="314"/>
        <item x="318"/>
        <item x="587"/>
        <item x="473"/>
        <item x="99"/>
        <item x="416"/>
        <item x="481"/>
        <item x="524"/>
        <item x="132"/>
        <item x="19"/>
        <item x="443"/>
        <item x="742"/>
        <item x="143"/>
        <item x="703"/>
        <item x="279"/>
        <item x="153"/>
        <item x="467"/>
        <item x="463"/>
        <item x="370"/>
        <item x="357"/>
        <item x="603"/>
        <item x="678"/>
        <item x="321"/>
        <item x="3"/>
        <item x="1"/>
        <item x="53"/>
        <item x="126"/>
        <item x="241"/>
        <item x="38"/>
        <item x="307"/>
        <item x="219"/>
        <item x="723"/>
        <item x="311"/>
        <item x="465"/>
        <item x="432"/>
        <item x="487"/>
        <item x="305"/>
        <item x="632"/>
        <item x="420"/>
        <item x="343"/>
        <item x="118"/>
        <item x="577"/>
        <item x="252"/>
        <item x="145"/>
        <item x="497"/>
        <item x="272"/>
        <item x="625"/>
        <item x="20"/>
        <item x="298"/>
        <item x="403"/>
        <item x="69"/>
        <item x="444"/>
        <item x="637"/>
        <item x="483"/>
        <item x="326"/>
        <item x="670"/>
        <item x="218"/>
        <item x="428"/>
        <item x="449"/>
        <item x="506"/>
        <item x="543"/>
        <item x="672"/>
        <item x="177"/>
        <item x="59"/>
        <item x="584"/>
        <item x="222"/>
        <item x="717"/>
        <item x="269"/>
        <item x="697"/>
        <item x="73"/>
        <item x="289"/>
        <item x="490"/>
        <item x="503"/>
        <item x="44"/>
        <item x="534"/>
        <item x="267"/>
        <item x="231"/>
        <item x="550"/>
        <item x="366"/>
        <item x="230"/>
        <item x="108"/>
        <item x="425"/>
        <item x="593"/>
        <item x="375"/>
        <item x="25"/>
        <item x="277"/>
        <item x="616"/>
        <item x="75"/>
        <item x="316"/>
        <item x="737"/>
        <item x="319"/>
        <item x="713"/>
        <item x="255"/>
        <item x="103"/>
        <item x="323"/>
        <item x="189"/>
        <item x="42"/>
        <item x="661"/>
        <item x="488"/>
        <item x="179"/>
        <item x="47"/>
        <item x="232"/>
        <item x="440"/>
        <item x="152"/>
        <item x="710"/>
        <item x="659"/>
        <item x="620"/>
        <item x="409"/>
        <item x="87"/>
        <item x="112"/>
        <item x="694"/>
        <item x="715"/>
        <item x="303"/>
        <item x="562"/>
        <item x="623"/>
        <item x="601"/>
        <item x="749"/>
        <item x="221"/>
        <item x="206"/>
        <item x="541"/>
        <item x="544"/>
        <item x="24"/>
        <item x="508"/>
        <item x="34"/>
        <item x="352"/>
        <item x="641"/>
        <item x="345"/>
        <item x="702"/>
        <item x="464"/>
        <item x="208"/>
        <item x="174"/>
        <item x="332"/>
        <item x="301"/>
        <item x="618"/>
        <item x="739"/>
        <item x="264"/>
        <item x="41"/>
        <item x="588"/>
        <item x="624"/>
        <item x="336"/>
        <item x="198"/>
        <item x="61"/>
        <item x="49"/>
        <item x="630"/>
        <item x="405"/>
        <item x="91"/>
        <item x="317"/>
        <item x="693"/>
        <item x="50"/>
        <item x="259"/>
        <item x="178"/>
        <item x="309"/>
        <item x="720"/>
        <item x="156"/>
        <item x="162"/>
        <item x="556"/>
        <item x="310"/>
        <item x="204"/>
        <item x="657"/>
        <item x="186"/>
        <item x="545"/>
        <item x="191"/>
        <item x="589"/>
        <item x="600"/>
        <item x="233"/>
        <item x="472"/>
        <item x="58"/>
        <item x="285"/>
        <item x="238"/>
        <item x="167"/>
        <item x="122"/>
        <item x="493"/>
        <item x="77"/>
        <item x="685"/>
        <item x="690"/>
        <item x="479"/>
        <item x="602"/>
        <item x="123"/>
        <item x="227"/>
        <item x="591"/>
        <item x="448"/>
        <item x="322"/>
        <item x="636"/>
        <item x="235"/>
        <item x="692"/>
        <item x="752"/>
        <item x="128"/>
        <item x="438"/>
        <item x="531"/>
        <item x="64"/>
        <item x="367"/>
        <item x="583"/>
        <item x="564"/>
        <item x="455"/>
        <item x="320"/>
        <item x="611"/>
        <item x="745"/>
        <item x="417"/>
        <item x="325"/>
        <item x="278"/>
        <item x="212"/>
        <item x="559"/>
        <item x="452"/>
        <item x="423"/>
        <item x="274"/>
        <item x="172"/>
        <item x="72"/>
        <item x="696"/>
        <item x="458"/>
        <item x="665"/>
        <item x="400"/>
        <item x="609"/>
        <item x="627"/>
        <item x="142"/>
        <item x="435"/>
        <item x="687"/>
        <item x="209"/>
        <item x="663"/>
        <item x="136"/>
        <item x="291"/>
        <item x="652"/>
        <item x="402"/>
        <item x="733"/>
        <item x="33"/>
        <item x="667"/>
        <item x="248"/>
        <item x="751"/>
        <item x="413"/>
        <item x="527"/>
        <item x="735"/>
        <item x="691"/>
        <item x="350"/>
        <item x="111"/>
        <item x="677"/>
        <item x="265"/>
        <item x="542"/>
        <item x="7"/>
        <item x="302"/>
        <item x="107"/>
        <item x="555"/>
        <item x="288"/>
        <item x="470"/>
        <item x="68"/>
        <item x="709"/>
        <item x="385"/>
        <item x="168"/>
        <item x="547"/>
        <item x="398"/>
        <item x="653"/>
        <item x="117"/>
        <item x="360"/>
        <item x="731"/>
        <item x="351"/>
        <item x="114"/>
        <item x="515"/>
        <item x="35"/>
        <item x="626"/>
        <item x="554"/>
        <item x="695"/>
        <item x="10"/>
        <item x="159"/>
        <item x="120"/>
        <item x="500"/>
        <item x="101"/>
        <item x="578"/>
        <item x="598"/>
        <item x="668"/>
        <item x="365"/>
        <item x="673"/>
        <item x="608"/>
        <item x="407"/>
        <item x="617"/>
        <item x="442"/>
        <item x="414"/>
        <item x="4"/>
        <item x="754"/>
        <item x="292"/>
        <item x="26"/>
        <item x="521"/>
        <item x="37"/>
        <item x="226"/>
        <item x="78"/>
        <item x="356"/>
        <item x="596"/>
        <item x="86"/>
        <item x="522"/>
        <item x="725"/>
        <item x="197"/>
        <item x="215"/>
        <item x="537"/>
        <item x="489"/>
        <item x="750"/>
        <item x="478"/>
        <item x="520"/>
        <item x="131"/>
        <item x="606"/>
        <item x="599"/>
        <item x="106"/>
        <item x="373"/>
        <item x="431"/>
        <item x="436"/>
        <item x="133"/>
        <item x="502"/>
        <item x="644"/>
        <item x="716"/>
        <item x="459"/>
        <item x="220"/>
        <item x="130"/>
        <item t="default"/>
      </items>
    </pivotField>
    <pivotField compact="0" showAll="0"/>
    <pivotField dataField="1" compact="0" showAll="0">
      <items count="721">
        <item x="36"/>
        <item x="689"/>
        <item x="616"/>
        <item x="345"/>
        <item x="435"/>
        <item x="454"/>
        <item x="520"/>
        <item x="490"/>
        <item x="693"/>
        <item x="6"/>
        <item x="182"/>
        <item x="72"/>
        <item x="292"/>
        <item x="79"/>
        <item x="597"/>
        <item x="220"/>
        <item x="119"/>
        <item x="545"/>
        <item x="530"/>
        <item x="691"/>
        <item x="270"/>
        <item x="337"/>
        <item x="151"/>
        <item x="668"/>
        <item x="162"/>
        <item x="272"/>
        <item x="525"/>
        <item x="176"/>
        <item x="684"/>
        <item x="535"/>
        <item x="600"/>
        <item x="547"/>
        <item x="504"/>
        <item x="390"/>
        <item x="258"/>
        <item x="661"/>
        <item x="105"/>
        <item x="708"/>
        <item x="621"/>
        <item x="52"/>
        <item x="174"/>
        <item x="357"/>
        <item x="116"/>
        <item x="327"/>
        <item x="681"/>
        <item x="218"/>
        <item x="369"/>
        <item x="129"/>
        <item x="91"/>
        <item x="167"/>
        <item x="578"/>
        <item x="65"/>
        <item x="465"/>
        <item x="5"/>
        <item x="46"/>
        <item x="28"/>
        <item x="540"/>
        <item x="274"/>
        <item x="215"/>
        <item x="234"/>
        <item x="476"/>
        <item x="142"/>
        <item x="602"/>
        <item x="358"/>
        <item x="263"/>
        <item x="264"/>
        <item x="235"/>
        <item x="163"/>
        <item x="314"/>
        <item x="449"/>
        <item x="612"/>
        <item x="655"/>
        <item x="319"/>
        <item x="367"/>
        <item x="338"/>
        <item x="697"/>
        <item x="295"/>
        <item x="43"/>
        <item x="183"/>
        <item x="21"/>
        <item x="365"/>
        <item x="629"/>
        <item x="652"/>
        <item x="713"/>
        <item x="377"/>
        <item x="12"/>
        <item x="618"/>
        <item x="189"/>
        <item x="702"/>
        <item x="175"/>
        <item x="219"/>
        <item x="633"/>
        <item x="649"/>
        <item x="9"/>
        <item x="355"/>
        <item x="202"/>
        <item x="376"/>
        <item x="55"/>
        <item x="180"/>
        <item x="291"/>
        <item x="31"/>
        <item x="51"/>
        <item x="156"/>
        <item x="181"/>
        <item x="521"/>
        <item x="613"/>
        <item x="706"/>
        <item x="481"/>
        <item x="469"/>
        <item x="197"/>
        <item x="346"/>
        <item x="679"/>
        <item x="144"/>
        <item x="671"/>
        <item x="23"/>
        <item x="351"/>
        <item x="457"/>
        <item x="632"/>
        <item x="506"/>
        <item x="107"/>
        <item x="57"/>
        <item x="436"/>
        <item x="260"/>
        <item x="514"/>
        <item x="446"/>
        <item x="29"/>
        <item x="642"/>
        <item x="586"/>
        <item x="601"/>
        <item x="287"/>
        <item x="247"/>
        <item x="348"/>
        <item x="184"/>
        <item x="499"/>
        <item x="66"/>
        <item x="171"/>
        <item x="239"/>
        <item x="445"/>
        <item x="650"/>
        <item x="519"/>
        <item x="246"/>
        <item x="396"/>
        <item x="664"/>
        <item x="486"/>
        <item x="254"/>
        <item x="170"/>
        <item x="362"/>
        <item x="379"/>
        <item x="48"/>
        <item x="429"/>
        <item x="242"/>
        <item x="139"/>
        <item x="471"/>
        <item x="719"/>
        <item x="614"/>
        <item x="74"/>
        <item x="498"/>
        <item x="591"/>
        <item x="394"/>
        <item x="639"/>
        <item x="236"/>
        <item x="39"/>
        <item x="117"/>
        <item x="253"/>
        <item x="304"/>
        <item x="605"/>
        <item x="609"/>
        <item x="628"/>
        <item x="434"/>
        <item x="625"/>
        <item x="178"/>
        <item x="323"/>
        <item x="676"/>
        <item x="152"/>
        <item x="209"/>
        <item x="80"/>
        <item x="17"/>
        <item x="155"/>
        <item x="593"/>
        <item x="478"/>
        <item x="92"/>
        <item x="81"/>
        <item x="641"/>
        <item x="248"/>
        <item x="90"/>
        <item x="507"/>
        <item x="130"/>
        <item x="343"/>
        <item x="273"/>
        <item x="687"/>
        <item x="417"/>
        <item x="27"/>
        <item x="306"/>
        <item x="146"/>
        <item x="539"/>
        <item x="487"/>
        <item x="124"/>
        <item x="333"/>
        <item x="363"/>
        <item x="450"/>
        <item x="277"/>
        <item x="278"/>
        <item x="443"/>
        <item x="271"/>
        <item x="373"/>
        <item x="532"/>
        <item x="651"/>
        <item x="82"/>
        <item x="484"/>
        <item x="356"/>
        <item x="63"/>
        <item x="485"/>
        <item x="468"/>
        <item x="290"/>
        <item x="298"/>
        <item x="11"/>
        <item x="230"/>
        <item x="261"/>
        <item x="494"/>
        <item x="482"/>
        <item x="375"/>
        <item x="320"/>
        <item x="127"/>
        <item x="718"/>
        <item x="426"/>
        <item x="646"/>
        <item x="405"/>
        <item x="0"/>
        <item x="192"/>
        <item x="288"/>
        <item x="115"/>
        <item x="147"/>
        <item x="690"/>
        <item x="77"/>
        <item x="553"/>
        <item x="168"/>
        <item x="150"/>
        <item x="322"/>
        <item x="636"/>
        <item x="317"/>
        <item x="56"/>
        <item x="240"/>
        <item x="237"/>
        <item x="86"/>
        <item x="400"/>
        <item x="313"/>
        <item x="401"/>
        <item x="69"/>
        <item x="158"/>
        <item x="188"/>
        <item x="698"/>
        <item x="213"/>
        <item x="384"/>
        <item x="157"/>
        <item x="200"/>
        <item x="562"/>
        <item x="453"/>
        <item x="424"/>
        <item x="251"/>
        <item x="644"/>
        <item x="489"/>
        <item x="89"/>
        <item x="227"/>
        <item x="228"/>
        <item x="596"/>
        <item x="575"/>
        <item x="473"/>
        <item x="680"/>
        <item x="30"/>
        <item x="410"/>
        <item x="191"/>
        <item x="8"/>
        <item x="517"/>
        <item x="383"/>
        <item x="125"/>
        <item x="94"/>
        <item x="643"/>
        <item x="441"/>
        <item x="389"/>
        <item x="371"/>
        <item x="427"/>
        <item x="205"/>
        <item x="710"/>
        <item x="331"/>
        <item x="716"/>
        <item x="18"/>
        <item x="78"/>
        <item x="607"/>
        <item x="325"/>
        <item x="557"/>
        <item x="603"/>
        <item x="364"/>
        <item x="515"/>
        <item x="109"/>
        <item x="14"/>
        <item x="380"/>
        <item x="574"/>
        <item x="169"/>
        <item x="45"/>
        <item x="513"/>
        <item x="137"/>
        <item x="439"/>
        <item x="437"/>
        <item x="340"/>
        <item x="97"/>
        <item x="233"/>
        <item x="87"/>
        <item x="585"/>
        <item x="329"/>
        <item x="203"/>
        <item x="344"/>
        <item x="265"/>
        <item x="360"/>
        <item x="448"/>
        <item x="301"/>
        <item x="701"/>
        <item x="60"/>
        <item x="496"/>
        <item x="407"/>
        <item x="208"/>
        <item x="526"/>
        <item x="133"/>
        <item x="677"/>
        <item x="438"/>
        <item x="231"/>
        <item x="500"/>
        <item x="305"/>
        <item x="201"/>
        <item x="640"/>
        <item x="135"/>
        <item x="141"/>
        <item x="388"/>
        <item x="102"/>
        <item x="316"/>
        <item x="2"/>
        <item x="627"/>
        <item x="172"/>
        <item x="32"/>
        <item x="38"/>
        <item x="411"/>
        <item x="352"/>
        <item x="483"/>
        <item x="149"/>
        <item x="619"/>
        <item x="40"/>
        <item x="455"/>
        <item x="269"/>
        <item x="160"/>
        <item x="415"/>
        <item x="534"/>
        <item x="195"/>
        <item x="391"/>
        <item x="561"/>
        <item x="138"/>
        <item x="538"/>
        <item x="136"/>
        <item x="717"/>
        <item x="466"/>
        <item x="408"/>
        <item x="542"/>
        <item x="463"/>
        <item x="444"/>
        <item x="653"/>
        <item x="241"/>
        <item x="673"/>
        <item x="688"/>
        <item x="93"/>
        <item x="568"/>
        <item x="164"/>
        <item x="418"/>
        <item x="503"/>
        <item x="563"/>
        <item x="85"/>
        <item x="393"/>
        <item x="22"/>
        <item x="555"/>
        <item x="350"/>
        <item x="510"/>
        <item x="166"/>
        <item x="13"/>
        <item x="399"/>
        <item x="577"/>
        <item x="211"/>
        <item x="280"/>
        <item x="259"/>
        <item x="685"/>
        <item x="556"/>
        <item x="243"/>
        <item x="570"/>
        <item x="15"/>
        <item x="402"/>
        <item x="16"/>
        <item x="660"/>
        <item x="634"/>
        <item x="395"/>
        <item x="502"/>
        <item x="611"/>
        <item x="682"/>
        <item x="461"/>
        <item x="44"/>
        <item x="299"/>
        <item x="477"/>
        <item x="177"/>
        <item x="62"/>
        <item x="330"/>
        <item x="128"/>
        <item x="206"/>
        <item x="95"/>
        <item x="54"/>
        <item x="440"/>
        <item x="110"/>
        <item x="341"/>
        <item x="98"/>
        <item x="599"/>
        <item x="595"/>
        <item x="24"/>
        <item x="480"/>
        <item x="537"/>
        <item x="368"/>
        <item x="334"/>
        <item x="225"/>
        <item x="223"/>
        <item x="284"/>
        <item x="420"/>
        <item x="187"/>
        <item x="707"/>
        <item x="53"/>
        <item x="297"/>
        <item x="576"/>
        <item x="700"/>
        <item x="61"/>
        <item x="456"/>
        <item x="615"/>
        <item x="112"/>
        <item x="413"/>
        <item x="285"/>
        <item x="442"/>
        <item x="672"/>
        <item x="353"/>
        <item x="366"/>
        <item x="670"/>
        <item x="286"/>
        <item x="549"/>
        <item x="73"/>
        <item x="432"/>
        <item x="462"/>
        <item x="71"/>
        <item x="217"/>
        <item x="662"/>
        <item x="458"/>
        <item x="179"/>
        <item x="703"/>
        <item x="25"/>
        <item x="221"/>
        <item x="289"/>
        <item x="422"/>
        <item x="544"/>
        <item x="50"/>
        <item x="491"/>
        <item x="527"/>
        <item x="648"/>
        <item x="309"/>
        <item x="581"/>
        <item x="252"/>
        <item x="560"/>
        <item x="302"/>
        <item x="232"/>
        <item x="529"/>
        <item x="308"/>
        <item x="423"/>
        <item x="321"/>
        <item x="412"/>
        <item x="190"/>
        <item x="669"/>
        <item x="249"/>
        <item x="196"/>
        <item x="430"/>
        <item x="104"/>
        <item x="665"/>
        <item x="533"/>
        <item x="198"/>
        <item x="638"/>
        <item x="518"/>
        <item x="541"/>
        <item x="582"/>
        <item x="229"/>
        <item x="361"/>
        <item x="416"/>
        <item x="3"/>
        <item x="20"/>
        <item x="64"/>
        <item x="617"/>
        <item x="659"/>
        <item x="623"/>
        <item x="589"/>
        <item x="475"/>
        <item x="19"/>
        <item x="645"/>
        <item x="335"/>
        <item x="311"/>
        <item x="683"/>
        <item x="68"/>
        <item x="224"/>
        <item x="579"/>
        <item x="194"/>
        <item x="281"/>
        <item x="524"/>
        <item x="550"/>
        <item x="610"/>
        <item x="548"/>
        <item x="604"/>
        <item x="381"/>
        <item x="244"/>
        <item x="296"/>
        <item x="511"/>
        <item x="34"/>
        <item x="315"/>
        <item x="508"/>
        <item x="318"/>
        <item x="122"/>
        <item x="467"/>
        <item x="622"/>
        <item x="531"/>
        <item x="84"/>
        <item x="497"/>
        <item x="42"/>
        <item x="705"/>
        <item x="336"/>
        <item x="132"/>
        <item x="1"/>
        <item x="199"/>
        <item x="210"/>
        <item x="255"/>
        <item x="266"/>
        <item x="516"/>
        <item x="114"/>
        <item x="372"/>
        <item x="332"/>
        <item x="403"/>
        <item x="222"/>
        <item x="100"/>
        <item x="647"/>
        <item x="419"/>
        <item x="699"/>
        <item x="374"/>
        <item x="630"/>
        <item x="88"/>
        <item x="588"/>
        <item x="153"/>
        <item x="303"/>
        <item x="536"/>
        <item x="41"/>
        <item x="113"/>
        <item x="143"/>
        <item x="161"/>
        <item x="598"/>
        <item x="238"/>
        <item x="134"/>
        <item x="307"/>
        <item x="590"/>
        <item x="704"/>
        <item x="674"/>
        <item x="49"/>
        <item x="464"/>
        <item x="663"/>
        <item x="328"/>
        <item x="501"/>
        <item x="558"/>
        <item x="293"/>
        <item x="552"/>
        <item x="512"/>
        <item x="262"/>
        <item x="59"/>
        <item x="347"/>
        <item x="657"/>
        <item x="624"/>
        <item x="173"/>
        <item x="554"/>
        <item x="715"/>
        <item x="359"/>
        <item x="675"/>
        <item x="140"/>
        <item x="543"/>
        <item x="551"/>
        <item x="474"/>
        <item x="257"/>
        <item x="584"/>
        <item x="267"/>
        <item x="637"/>
        <item x="709"/>
        <item x="214"/>
        <item x="101"/>
        <item x="587"/>
        <item x="382"/>
        <item x="694"/>
        <item x="711"/>
        <item x="326"/>
        <item x="300"/>
        <item x="447"/>
        <item x="47"/>
        <item x="620"/>
        <item x="245"/>
        <item x="250"/>
        <item x="580"/>
        <item x="378"/>
        <item x="324"/>
        <item x="546"/>
        <item x="567"/>
        <item x="479"/>
        <item x="204"/>
        <item x="470"/>
        <item x="256"/>
        <item x="186"/>
        <item x="678"/>
        <item x="120"/>
        <item x="667"/>
        <item x="404"/>
        <item x="126"/>
        <item x="421"/>
        <item x="275"/>
        <item x="572"/>
        <item x="398"/>
        <item x="312"/>
        <item x="566"/>
        <item x="571"/>
        <item x="35"/>
        <item x="594"/>
        <item x="392"/>
        <item x="165"/>
        <item x="67"/>
        <item x="58"/>
        <item x="425"/>
        <item x="148"/>
        <item x="459"/>
        <item x="505"/>
        <item x="339"/>
        <item x="656"/>
        <item x="4"/>
        <item x="451"/>
        <item x="559"/>
        <item x="626"/>
        <item x="452"/>
        <item x="310"/>
        <item x="573"/>
        <item x="654"/>
        <item x="386"/>
        <item x="282"/>
        <item x="714"/>
        <item x="592"/>
        <item x="509"/>
        <item x="387"/>
        <item x="472"/>
        <item x="83"/>
        <item x="118"/>
        <item x="96"/>
        <item x="283"/>
        <item x="569"/>
        <item x="75"/>
        <item x="276"/>
        <item x="692"/>
        <item x="212"/>
        <item x="268"/>
        <item x="70"/>
        <item x="154"/>
        <item x="111"/>
        <item x="226"/>
        <item x="583"/>
        <item x="409"/>
        <item x="428"/>
        <item x="608"/>
        <item x="385"/>
        <item x="397"/>
        <item x="294"/>
        <item x="106"/>
        <item x="696"/>
        <item x="99"/>
        <item x="695"/>
        <item x="131"/>
        <item x="523"/>
        <item x="564"/>
        <item x="606"/>
        <item x="406"/>
        <item x="342"/>
        <item x="159"/>
        <item x="712"/>
        <item x="488"/>
        <item x="349"/>
        <item x="433"/>
        <item x="279"/>
        <item x="493"/>
        <item x="33"/>
        <item x="10"/>
        <item x="145"/>
        <item x="103"/>
        <item x="686"/>
        <item x="631"/>
        <item x="658"/>
        <item x="7"/>
        <item x="522"/>
        <item x="370"/>
        <item x="185"/>
        <item x="108"/>
        <item x="37"/>
        <item x="635"/>
        <item x="193"/>
        <item x="460"/>
        <item x="414"/>
        <item x="216"/>
        <item x="492"/>
        <item x="76"/>
        <item x="354"/>
        <item x="495"/>
        <item x="26"/>
        <item x="528"/>
        <item x="207"/>
        <item x="121"/>
        <item x="565"/>
        <item x="431"/>
        <item x="666"/>
        <item x="123"/>
        <item t="default"/>
      </items>
    </pivotField>
    <pivotField compact="0" showAll="0">
      <items count="5">
        <item x="0"/>
        <item x="3"/>
        <item x="1"/>
        <item x="2"/>
        <item t="default"/>
      </items>
    </pivotField>
    <pivotField compact="0" showAll="0"/>
    <pivotField compact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0" baseField="0" baseItem="0"/>
  </dataFields>
  <formats count="18">
    <format dxfId="52">
      <pivotArea type="all" dataOnly="0" outline="0" fieldPosition="0"/>
    </format>
    <format dxfId="53">
      <pivotArea outline="0" collapsedLevelsAreSubtotals="1" fieldPosition="0"/>
    </format>
    <format dxfId="54">
      <pivotArea field="4" type="button" dataOnly="0" labelOnly="1" outline="0" fieldPosition="0"/>
    </format>
    <format dxfId="55">
      <pivotArea dataOnly="0" labelOnly="1" outline="0" fieldPosition="0"/>
    </format>
    <format dxfId="56">
      <pivotArea dataOnly="0" labelOnly="1" outline="0" fieldPosition="0">
        <references count="1">
          <reference field="4" count="0"/>
        </references>
      </pivotArea>
    </format>
    <format dxfId="57">
      <pivotArea dataOnly="0" labelOnly="1" grandRow="1" outline="0" fieldPosition="0"/>
    </format>
    <format dxfId="58">
      <pivotArea dataOnly="0" labelOnly="1" outline="0" fieldPosition="0"/>
    </format>
    <format dxfId="59">
      <pivotArea collapsedLevelsAreSubtotals="1" fieldPosition="0">
        <references count="1">
          <reference field="4" count="0"/>
        </references>
      </pivotArea>
    </format>
    <format dxfId="60">
      <pivotArea dataOnly="0" labelOnly="1" outline="0" fieldPosition="0">
        <references count="1">
          <reference field="4" count="0"/>
        </references>
      </pivotArea>
    </format>
    <format dxfId="61">
      <pivotArea type="all" dataOnly="0" outline="0" fieldPosition="0"/>
    </format>
    <format dxfId="62">
      <pivotArea outline="0" collapsedLevelsAreSubtotals="1" fieldPosition="0"/>
    </format>
    <format dxfId="63">
      <pivotArea field="4" type="button" dataOnly="0" labelOnly="1" outline="0" fieldPosition="0"/>
    </format>
    <format dxfId="64">
      <pivotArea dataOnly="0" labelOnly="1" outline="0" fieldPosition="0"/>
    </format>
    <format dxfId="65">
      <pivotArea dataOnly="0" labelOnly="1" outline="0" fieldPosition="0">
        <references count="1">
          <reference field="4" count="0"/>
        </references>
      </pivotArea>
    </format>
    <format dxfId="66">
      <pivotArea dataOnly="0" labelOnly="1" grandRow="1" outline="0" fieldPosition="0"/>
    </format>
    <format dxfId="67">
      <pivotArea dataOnly="0" labelOnly="1" outline="0" fieldPosition="0"/>
    </format>
    <format dxfId="68">
      <pivotArea dataOnly="0" grandRow="1" fieldPosition="0"/>
    </format>
    <format dxfId="69">
      <pivotArea grandRow="1"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 chartFormat="8">
  <location ref="A4:B10" firstHeaderRow="1" firstDataRow="1" firstDataCol="1"/>
  <pivotFields count="14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/>
    <pivotField compact="0" showAll="0"/>
    <pivotField axis="axisRow" compact="0" showAll="0">
      <items count="6">
        <item x="4"/>
        <item x="1"/>
        <item x="2"/>
        <item x="3"/>
        <item x="0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6">
        <item x="11"/>
        <item x="10"/>
        <item x="9"/>
        <item x="1"/>
        <item x="4"/>
        <item x="7"/>
        <item x="0"/>
        <item x="6"/>
        <item x="5"/>
        <item x="3"/>
        <item x="8"/>
        <item x="13"/>
        <item x="2"/>
        <item x="12"/>
        <item x="14"/>
        <item t="default"/>
      </items>
    </pivotField>
    <pivotField compact="0" showAll="0">
      <items count="6">
        <item x="2"/>
        <item x="3"/>
        <item x="1"/>
        <item x="4"/>
        <item x="0"/>
        <item t="default"/>
      </items>
    </pivotField>
    <pivotField compact="0" showAll="0"/>
    <pivotField dataField="1" compact="0" showAll="0">
      <items count="760">
        <item x="727"/>
        <item x="538"/>
        <item x="730"/>
        <item x="81"/>
        <item x="628"/>
        <item x="36"/>
        <item x="193"/>
        <item x="175"/>
        <item x="732"/>
        <item x="461"/>
        <item x="651"/>
        <item x="74"/>
        <item x="638"/>
        <item x="6"/>
        <item x="362"/>
        <item x="708"/>
        <item x="518"/>
        <item x="571"/>
        <item x="536"/>
        <item x="740"/>
        <item x="374"/>
        <item x="354"/>
        <item x="552"/>
        <item x="268"/>
        <item x="658"/>
        <item x="560"/>
        <item x="558"/>
        <item x="721"/>
        <item x="548"/>
        <item x="384"/>
        <item x="635"/>
        <item x="188"/>
        <item x="273"/>
        <item x="640"/>
        <item x="229"/>
        <item x="46"/>
        <item x="28"/>
        <item x="290"/>
        <item x="340"/>
        <item x="165"/>
        <item x="244"/>
        <item x="176"/>
        <item x="129"/>
        <item x="711"/>
        <item x="125"/>
        <item x="557"/>
        <item x="194"/>
        <item x="529"/>
        <item x="642"/>
        <item x="504"/>
        <item x="104"/>
        <item x="5"/>
        <item x="486"/>
        <item x="574"/>
        <item x="382"/>
        <item x="525"/>
        <item x="724"/>
        <item x="254"/>
        <item x="592"/>
        <item x="698"/>
        <item x="736"/>
        <item x="688"/>
        <item x="445"/>
        <item x="225"/>
        <item x="580"/>
        <item x="421"/>
        <item x="615"/>
        <item x="581"/>
        <item x="393"/>
        <item x="746"/>
        <item x="701"/>
        <item x="741"/>
        <item x="649"/>
        <item x="55"/>
        <item x="328"/>
        <item x="748"/>
        <item x="113"/>
        <item x="283"/>
        <item x="43"/>
        <item x="744"/>
        <item x="397"/>
        <item x="102"/>
        <item x="572"/>
        <item x="391"/>
        <item x="52"/>
        <item x="706"/>
        <item x="535"/>
        <item x="339"/>
        <item x="180"/>
        <item x="187"/>
        <item x="639"/>
        <item x="119"/>
        <item x="213"/>
        <item x="621"/>
        <item x="65"/>
        <item x="539"/>
        <item x="662"/>
        <item x="94"/>
        <item x="66"/>
        <item x="378"/>
        <item x="9"/>
        <item x="154"/>
        <item x="396"/>
        <item x="369"/>
        <item x="494"/>
        <item x="228"/>
        <item x="429"/>
        <item x="256"/>
        <item x="51"/>
        <item x="566"/>
        <item x="116"/>
        <item x="377"/>
        <item x="140"/>
        <item x="12"/>
        <item x="245"/>
        <item x="404"/>
        <item x="270"/>
        <item x="138"/>
        <item x="251"/>
        <item x="553"/>
        <item x="530"/>
        <item x="379"/>
        <item x="257"/>
        <item x="671"/>
        <item x="511"/>
        <item x="192"/>
        <item x="389"/>
        <item x="183"/>
        <item x="48"/>
        <item x="21"/>
        <item x="363"/>
        <item x="217"/>
        <item x="666"/>
        <item x="492"/>
        <item x="381"/>
        <item x="475"/>
        <item x="29"/>
        <item x="276"/>
        <item x="579"/>
        <item x="650"/>
        <item x="196"/>
        <item x="100"/>
        <item x="582"/>
        <item x="346"/>
        <item x="388"/>
        <item x="96"/>
        <item x="300"/>
        <item x="705"/>
        <item x="540"/>
        <item x="654"/>
        <item x="513"/>
        <item x="95"/>
        <item x="427"/>
        <item x="333"/>
        <item x="210"/>
        <item x="190"/>
        <item x="758"/>
        <item x="141"/>
        <item x="499"/>
        <item x="207"/>
        <item x="249"/>
        <item x="570"/>
        <item x="312"/>
        <item x="324"/>
        <item x="647"/>
        <item x="304"/>
        <item x="17"/>
        <item x="480"/>
        <item x="457"/>
        <item x="585"/>
        <item x="501"/>
        <item x="514"/>
        <item x="157"/>
        <item x="280"/>
        <item x="648"/>
        <item x="334"/>
        <item x="170"/>
        <item x="476"/>
        <item x="361"/>
        <item x="509"/>
        <item x="262"/>
        <item x="93"/>
        <item x="757"/>
        <item x="286"/>
        <item x="31"/>
        <item x="82"/>
        <item x="410"/>
        <item x="401"/>
        <item x="368"/>
        <item x="166"/>
        <item x="299"/>
        <item x="201"/>
        <item x="57"/>
        <item x="426"/>
        <item x="683"/>
        <item x="39"/>
        <item x="329"/>
        <item x="498"/>
        <item x="23"/>
        <item x="714"/>
        <item x="342"/>
        <item x="294"/>
        <item x="127"/>
        <item x="675"/>
        <item x="124"/>
        <item x="160"/>
        <item x="408"/>
        <item x="469"/>
        <item x="728"/>
        <item x="528"/>
        <item x="738"/>
        <item x="184"/>
        <item x="223"/>
        <item x="681"/>
        <item x="306"/>
        <item x="619"/>
        <item x="551"/>
        <item x="258"/>
        <item x="364"/>
        <item x="453"/>
        <item x="171"/>
        <item x="462"/>
        <item x="684"/>
        <item x="471"/>
        <item x="573"/>
        <item x="237"/>
        <item x="755"/>
        <item x="718"/>
        <item x="347"/>
        <item x="151"/>
        <item x="181"/>
        <item x="203"/>
        <item x="260"/>
        <item x="200"/>
        <item x="327"/>
        <item x="263"/>
        <item x="275"/>
        <item x="456"/>
        <item x="79"/>
        <item x="169"/>
        <item x="287"/>
        <item x="437"/>
        <item x="411"/>
        <item x="358"/>
        <item x="424"/>
        <item x="282"/>
        <item x="266"/>
        <item x="484"/>
        <item x="85"/>
        <item x="344"/>
        <item x="454"/>
        <item x="239"/>
        <item x="680"/>
        <item x="83"/>
        <item x="284"/>
        <item x="137"/>
        <item x="446"/>
        <item x="134"/>
        <item x="70"/>
        <item x="466"/>
        <item x="704"/>
        <item x="604"/>
        <item x="63"/>
        <item x="84"/>
        <item x="664"/>
        <item x="726"/>
        <item x="76"/>
        <item x="243"/>
        <item x="546"/>
        <item x="689"/>
        <item x="390"/>
        <item x="412"/>
        <item x="27"/>
        <item x="297"/>
        <item x="149"/>
        <item x="512"/>
        <item x="32"/>
        <item x="586"/>
        <item x="2"/>
        <item x="700"/>
        <item x="451"/>
        <item x="660"/>
        <item x="569"/>
        <item x="216"/>
        <item x="674"/>
        <item x="743"/>
        <item x="605"/>
        <item x="338"/>
        <item x="315"/>
        <item x="182"/>
        <item x="612"/>
        <item x="526"/>
        <item x="331"/>
        <item x="147"/>
        <item x="380"/>
        <item x="418"/>
        <item x="631"/>
        <item x="614"/>
        <item x="240"/>
        <item x="308"/>
        <item x="353"/>
        <item x="110"/>
        <item x="271"/>
        <item x="517"/>
        <item x="11"/>
        <item x="281"/>
        <item x="477"/>
        <item x="496"/>
        <item x="482"/>
        <item x="568"/>
        <item x="250"/>
        <item x="395"/>
        <item x="161"/>
        <item x="349"/>
        <item x="387"/>
        <item x="419"/>
        <item x="729"/>
        <item x="415"/>
        <item x="56"/>
        <item x="341"/>
        <item x="155"/>
        <item x="335"/>
        <item x="144"/>
        <item x="590"/>
        <item x="468"/>
        <item x="622"/>
        <item x="92"/>
        <item x="507"/>
        <item x="533"/>
        <item x="686"/>
        <item x="150"/>
        <item x="610"/>
        <item x="185"/>
        <item x="173"/>
        <item x="633"/>
        <item x="491"/>
        <item x="115"/>
        <item x="371"/>
        <item x="682"/>
        <item x="563"/>
        <item x="337"/>
        <item x="753"/>
        <item x="567"/>
        <item x="146"/>
        <item x="722"/>
        <item x="195"/>
        <item x="406"/>
        <item x="519"/>
        <item x="576"/>
        <item x="629"/>
        <item x="15"/>
        <item x="139"/>
        <item x="355"/>
        <item x="121"/>
        <item x="510"/>
        <item x="71"/>
        <item x="699"/>
        <item x="549"/>
        <item x="607"/>
        <item x="211"/>
        <item x="199"/>
        <item x="399"/>
        <item x="669"/>
        <item x="719"/>
        <item x="532"/>
        <item x="0"/>
        <item x="392"/>
        <item x="645"/>
        <item x="295"/>
        <item x="247"/>
        <item x="634"/>
        <item x="707"/>
        <item x="67"/>
        <item x="383"/>
        <item x="439"/>
        <item x="597"/>
        <item x="54"/>
        <item x="30"/>
        <item x="594"/>
        <item x="372"/>
        <item x="22"/>
        <item x="676"/>
        <item x="330"/>
        <item x="523"/>
        <item x="430"/>
        <item x="158"/>
        <item x="205"/>
        <item x="643"/>
        <item x="646"/>
        <item x="376"/>
        <item x="655"/>
        <item x="386"/>
        <item x="712"/>
        <item x="164"/>
        <item x="447"/>
        <item x="16"/>
        <item x="756"/>
        <item x="261"/>
        <item x="14"/>
        <item x="8"/>
        <item x="80"/>
        <item x="97"/>
        <item x="60"/>
        <item x="394"/>
        <item x="505"/>
        <item x="90"/>
        <item x="45"/>
        <item x="561"/>
        <item x="89"/>
        <item x="13"/>
        <item x="105"/>
        <item x="293"/>
        <item x="734"/>
        <item x="62"/>
        <item x="433"/>
        <item x="474"/>
        <item x="148"/>
        <item x="253"/>
        <item x="224"/>
        <item x="348"/>
        <item x="359"/>
        <item x="595"/>
        <item x="516"/>
        <item x="313"/>
        <item x="296"/>
        <item x="656"/>
        <item x="98"/>
        <item x="575"/>
        <item x="565"/>
        <item x="18"/>
        <item x="88"/>
        <item x="135"/>
        <item x="422"/>
        <item x="214"/>
        <item x="246"/>
        <item x="109"/>
        <item x="495"/>
        <item x="747"/>
        <item x="485"/>
        <item x="434"/>
        <item x="441"/>
        <item x="234"/>
        <item x="613"/>
        <item x="236"/>
        <item x="40"/>
        <item x="460"/>
        <item x="679"/>
        <item x="202"/>
        <item x="450"/>
        <item x="242"/>
        <item x="163"/>
        <item x="314"/>
        <item x="318"/>
        <item x="587"/>
        <item x="473"/>
        <item x="99"/>
        <item x="416"/>
        <item x="481"/>
        <item x="524"/>
        <item x="132"/>
        <item x="19"/>
        <item x="443"/>
        <item x="742"/>
        <item x="143"/>
        <item x="703"/>
        <item x="279"/>
        <item x="153"/>
        <item x="467"/>
        <item x="463"/>
        <item x="370"/>
        <item x="357"/>
        <item x="603"/>
        <item x="678"/>
        <item x="321"/>
        <item x="3"/>
        <item x="1"/>
        <item x="53"/>
        <item x="126"/>
        <item x="241"/>
        <item x="38"/>
        <item x="307"/>
        <item x="219"/>
        <item x="723"/>
        <item x="311"/>
        <item x="465"/>
        <item x="432"/>
        <item x="487"/>
        <item x="305"/>
        <item x="632"/>
        <item x="420"/>
        <item x="343"/>
        <item x="118"/>
        <item x="577"/>
        <item x="252"/>
        <item x="145"/>
        <item x="497"/>
        <item x="272"/>
        <item x="625"/>
        <item x="20"/>
        <item x="298"/>
        <item x="403"/>
        <item x="69"/>
        <item x="444"/>
        <item x="637"/>
        <item x="483"/>
        <item x="326"/>
        <item x="670"/>
        <item x="218"/>
        <item x="428"/>
        <item x="449"/>
        <item x="506"/>
        <item x="543"/>
        <item x="672"/>
        <item x="177"/>
        <item x="59"/>
        <item x="584"/>
        <item x="222"/>
        <item x="717"/>
        <item x="269"/>
        <item x="697"/>
        <item x="73"/>
        <item x="289"/>
        <item x="490"/>
        <item x="503"/>
        <item x="44"/>
        <item x="534"/>
        <item x="267"/>
        <item x="231"/>
        <item x="550"/>
        <item x="366"/>
        <item x="230"/>
        <item x="108"/>
        <item x="425"/>
        <item x="593"/>
        <item x="375"/>
        <item x="25"/>
        <item x="277"/>
        <item x="616"/>
        <item x="75"/>
        <item x="316"/>
        <item x="737"/>
        <item x="319"/>
        <item x="713"/>
        <item x="255"/>
        <item x="103"/>
        <item x="323"/>
        <item x="189"/>
        <item x="42"/>
        <item x="661"/>
        <item x="488"/>
        <item x="179"/>
        <item x="47"/>
        <item x="232"/>
        <item x="440"/>
        <item x="152"/>
        <item x="710"/>
        <item x="659"/>
        <item x="620"/>
        <item x="409"/>
        <item x="87"/>
        <item x="112"/>
        <item x="694"/>
        <item x="715"/>
        <item x="303"/>
        <item x="562"/>
        <item x="623"/>
        <item x="601"/>
        <item x="749"/>
        <item x="221"/>
        <item x="206"/>
        <item x="541"/>
        <item x="544"/>
        <item x="24"/>
        <item x="508"/>
        <item x="34"/>
        <item x="352"/>
        <item x="641"/>
        <item x="345"/>
        <item x="702"/>
        <item x="464"/>
        <item x="208"/>
        <item x="174"/>
        <item x="332"/>
        <item x="301"/>
        <item x="618"/>
        <item x="739"/>
        <item x="264"/>
        <item x="41"/>
        <item x="588"/>
        <item x="624"/>
        <item x="336"/>
        <item x="198"/>
        <item x="61"/>
        <item x="49"/>
        <item x="630"/>
        <item x="405"/>
        <item x="91"/>
        <item x="317"/>
        <item x="693"/>
        <item x="50"/>
        <item x="259"/>
        <item x="178"/>
        <item x="309"/>
        <item x="720"/>
        <item x="156"/>
        <item x="162"/>
        <item x="556"/>
        <item x="310"/>
        <item x="204"/>
        <item x="657"/>
        <item x="186"/>
        <item x="545"/>
        <item x="191"/>
        <item x="589"/>
        <item x="600"/>
        <item x="233"/>
        <item x="472"/>
        <item x="58"/>
        <item x="285"/>
        <item x="238"/>
        <item x="167"/>
        <item x="122"/>
        <item x="493"/>
        <item x="77"/>
        <item x="685"/>
        <item x="690"/>
        <item x="479"/>
        <item x="602"/>
        <item x="123"/>
        <item x="227"/>
        <item x="591"/>
        <item x="448"/>
        <item x="322"/>
        <item x="636"/>
        <item x="235"/>
        <item x="692"/>
        <item x="752"/>
        <item x="128"/>
        <item x="438"/>
        <item x="531"/>
        <item x="64"/>
        <item x="367"/>
        <item x="583"/>
        <item x="564"/>
        <item x="455"/>
        <item x="320"/>
        <item x="611"/>
        <item x="745"/>
        <item x="417"/>
        <item x="325"/>
        <item x="278"/>
        <item x="212"/>
        <item x="559"/>
        <item x="452"/>
        <item x="423"/>
        <item x="274"/>
        <item x="172"/>
        <item x="72"/>
        <item x="696"/>
        <item x="458"/>
        <item x="665"/>
        <item x="400"/>
        <item x="609"/>
        <item x="627"/>
        <item x="142"/>
        <item x="435"/>
        <item x="687"/>
        <item x="209"/>
        <item x="663"/>
        <item x="136"/>
        <item x="291"/>
        <item x="652"/>
        <item x="402"/>
        <item x="733"/>
        <item x="33"/>
        <item x="667"/>
        <item x="248"/>
        <item x="751"/>
        <item x="413"/>
        <item x="527"/>
        <item x="735"/>
        <item x="691"/>
        <item x="350"/>
        <item x="111"/>
        <item x="677"/>
        <item x="265"/>
        <item x="542"/>
        <item x="7"/>
        <item x="302"/>
        <item x="107"/>
        <item x="555"/>
        <item x="288"/>
        <item x="470"/>
        <item x="68"/>
        <item x="709"/>
        <item x="385"/>
        <item x="168"/>
        <item x="547"/>
        <item x="398"/>
        <item x="653"/>
        <item x="117"/>
        <item x="360"/>
        <item x="731"/>
        <item x="351"/>
        <item x="114"/>
        <item x="515"/>
        <item x="35"/>
        <item x="626"/>
        <item x="554"/>
        <item x="695"/>
        <item x="10"/>
        <item x="159"/>
        <item x="120"/>
        <item x="500"/>
        <item x="101"/>
        <item x="578"/>
        <item x="598"/>
        <item x="668"/>
        <item x="365"/>
        <item x="673"/>
        <item x="608"/>
        <item x="407"/>
        <item x="617"/>
        <item x="442"/>
        <item x="414"/>
        <item x="4"/>
        <item x="754"/>
        <item x="292"/>
        <item x="26"/>
        <item x="521"/>
        <item x="37"/>
        <item x="226"/>
        <item x="78"/>
        <item x="356"/>
        <item x="596"/>
        <item x="86"/>
        <item x="522"/>
        <item x="725"/>
        <item x="197"/>
        <item x="215"/>
        <item x="537"/>
        <item x="489"/>
        <item x="750"/>
        <item x="478"/>
        <item x="520"/>
        <item x="131"/>
        <item x="606"/>
        <item x="599"/>
        <item x="106"/>
        <item x="373"/>
        <item x="431"/>
        <item x="436"/>
        <item x="133"/>
        <item x="502"/>
        <item x="644"/>
        <item x="716"/>
        <item x="459"/>
        <item x="220"/>
        <item x="130"/>
        <item t="default"/>
      </items>
    </pivotField>
    <pivotField compact="0" showAll="0"/>
    <pivotField compact="0" showAll="0">
      <items count="721">
        <item x="36"/>
        <item x="689"/>
        <item x="616"/>
        <item x="345"/>
        <item x="435"/>
        <item x="454"/>
        <item x="520"/>
        <item x="490"/>
        <item x="693"/>
        <item x="6"/>
        <item x="182"/>
        <item x="72"/>
        <item x="292"/>
        <item x="79"/>
        <item x="597"/>
        <item x="220"/>
        <item x="119"/>
        <item x="545"/>
        <item x="530"/>
        <item x="691"/>
        <item x="270"/>
        <item x="337"/>
        <item x="151"/>
        <item x="668"/>
        <item x="162"/>
        <item x="272"/>
        <item x="525"/>
        <item x="176"/>
        <item x="684"/>
        <item x="535"/>
        <item x="600"/>
        <item x="547"/>
        <item x="504"/>
        <item x="390"/>
        <item x="258"/>
        <item x="661"/>
        <item x="105"/>
        <item x="708"/>
        <item x="621"/>
        <item x="52"/>
        <item x="174"/>
        <item x="357"/>
        <item x="116"/>
        <item x="327"/>
        <item x="681"/>
        <item x="218"/>
        <item x="369"/>
        <item x="129"/>
        <item x="91"/>
        <item x="167"/>
        <item x="578"/>
        <item x="65"/>
        <item x="465"/>
        <item x="5"/>
        <item x="46"/>
        <item x="28"/>
        <item x="540"/>
        <item x="274"/>
        <item x="215"/>
        <item x="234"/>
        <item x="476"/>
        <item x="142"/>
        <item x="602"/>
        <item x="358"/>
        <item x="263"/>
        <item x="264"/>
        <item x="235"/>
        <item x="163"/>
        <item x="314"/>
        <item x="449"/>
        <item x="612"/>
        <item x="655"/>
        <item x="319"/>
        <item x="367"/>
        <item x="338"/>
        <item x="697"/>
        <item x="295"/>
        <item x="43"/>
        <item x="183"/>
        <item x="21"/>
        <item x="365"/>
        <item x="629"/>
        <item x="652"/>
        <item x="713"/>
        <item x="377"/>
        <item x="12"/>
        <item x="618"/>
        <item x="189"/>
        <item x="702"/>
        <item x="175"/>
        <item x="219"/>
        <item x="633"/>
        <item x="649"/>
        <item x="9"/>
        <item x="355"/>
        <item x="202"/>
        <item x="376"/>
        <item x="55"/>
        <item x="180"/>
        <item x="291"/>
        <item x="31"/>
        <item x="51"/>
        <item x="156"/>
        <item x="181"/>
        <item x="521"/>
        <item x="613"/>
        <item x="706"/>
        <item x="481"/>
        <item x="469"/>
        <item x="197"/>
        <item x="346"/>
        <item x="679"/>
        <item x="144"/>
        <item x="671"/>
        <item x="23"/>
        <item x="351"/>
        <item x="457"/>
        <item x="632"/>
        <item x="506"/>
        <item x="107"/>
        <item x="57"/>
        <item x="436"/>
        <item x="260"/>
        <item x="514"/>
        <item x="446"/>
        <item x="29"/>
        <item x="642"/>
        <item x="586"/>
        <item x="601"/>
        <item x="287"/>
        <item x="247"/>
        <item x="348"/>
        <item x="184"/>
        <item x="499"/>
        <item x="66"/>
        <item x="171"/>
        <item x="239"/>
        <item x="445"/>
        <item x="650"/>
        <item x="519"/>
        <item x="246"/>
        <item x="396"/>
        <item x="664"/>
        <item x="486"/>
        <item x="254"/>
        <item x="170"/>
        <item x="362"/>
        <item x="379"/>
        <item x="48"/>
        <item x="429"/>
        <item x="242"/>
        <item x="139"/>
        <item x="471"/>
        <item x="719"/>
        <item x="614"/>
        <item x="74"/>
        <item x="498"/>
        <item x="591"/>
        <item x="394"/>
        <item x="639"/>
        <item x="236"/>
        <item x="39"/>
        <item x="117"/>
        <item x="253"/>
        <item x="304"/>
        <item x="605"/>
        <item x="609"/>
        <item x="628"/>
        <item x="434"/>
        <item x="625"/>
        <item x="178"/>
        <item x="323"/>
        <item x="676"/>
        <item x="152"/>
        <item x="209"/>
        <item x="80"/>
        <item x="17"/>
        <item x="155"/>
        <item x="593"/>
        <item x="478"/>
        <item x="92"/>
        <item x="81"/>
        <item x="641"/>
        <item x="248"/>
        <item x="90"/>
        <item x="507"/>
        <item x="130"/>
        <item x="343"/>
        <item x="273"/>
        <item x="687"/>
        <item x="417"/>
        <item x="27"/>
        <item x="306"/>
        <item x="146"/>
        <item x="539"/>
        <item x="487"/>
        <item x="124"/>
        <item x="333"/>
        <item x="363"/>
        <item x="450"/>
        <item x="277"/>
        <item x="278"/>
        <item x="443"/>
        <item x="271"/>
        <item x="373"/>
        <item x="532"/>
        <item x="651"/>
        <item x="82"/>
        <item x="484"/>
        <item x="356"/>
        <item x="63"/>
        <item x="485"/>
        <item x="468"/>
        <item x="290"/>
        <item x="298"/>
        <item x="11"/>
        <item x="230"/>
        <item x="261"/>
        <item x="494"/>
        <item x="482"/>
        <item x="375"/>
        <item x="320"/>
        <item x="127"/>
        <item x="718"/>
        <item x="426"/>
        <item x="646"/>
        <item x="405"/>
        <item x="0"/>
        <item x="192"/>
        <item x="288"/>
        <item x="115"/>
        <item x="147"/>
        <item x="690"/>
        <item x="77"/>
        <item x="553"/>
        <item x="168"/>
        <item x="150"/>
        <item x="322"/>
        <item x="636"/>
        <item x="317"/>
        <item x="56"/>
        <item x="240"/>
        <item x="237"/>
        <item x="86"/>
        <item x="400"/>
        <item x="313"/>
        <item x="401"/>
        <item x="69"/>
        <item x="158"/>
        <item x="188"/>
        <item x="698"/>
        <item x="213"/>
        <item x="384"/>
        <item x="157"/>
        <item x="200"/>
        <item x="562"/>
        <item x="453"/>
        <item x="424"/>
        <item x="251"/>
        <item x="644"/>
        <item x="489"/>
        <item x="89"/>
        <item x="227"/>
        <item x="228"/>
        <item x="596"/>
        <item x="575"/>
        <item x="473"/>
        <item x="680"/>
        <item x="30"/>
        <item x="410"/>
        <item x="191"/>
        <item x="8"/>
        <item x="517"/>
        <item x="383"/>
        <item x="125"/>
        <item x="94"/>
        <item x="643"/>
        <item x="441"/>
        <item x="389"/>
        <item x="371"/>
        <item x="427"/>
        <item x="205"/>
        <item x="710"/>
        <item x="331"/>
        <item x="716"/>
        <item x="18"/>
        <item x="78"/>
        <item x="607"/>
        <item x="325"/>
        <item x="557"/>
        <item x="603"/>
        <item x="364"/>
        <item x="515"/>
        <item x="109"/>
        <item x="14"/>
        <item x="380"/>
        <item x="574"/>
        <item x="169"/>
        <item x="45"/>
        <item x="513"/>
        <item x="137"/>
        <item x="439"/>
        <item x="437"/>
        <item x="340"/>
        <item x="97"/>
        <item x="233"/>
        <item x="87"/>
        <item x="585"/>
        <item x="329"/>
        <item x="203"/>
        <item x="344"/>
        <item x="265"/>
        <item x="360"/>
        <item x="448"/>
        <item x="301"/>
        <item x="701"/>
        <item x="60"/>
        <item x="496"/>
        <item x="407"/>
        <item x="208"/>
        <item x="526"/>
        <item x="133"/>
        <item x="677"/>
        <item x="438"/>
        <item x="231"/>
        <item x="500"/>
        <item x="305"/>
        <item x="201"/>
        <item x="640"/>
        <item x="135"/>
        <item x="141"/>
        <item x="388"/>
        <item x="102"/>
        <item x="316"/>
        <item x="2"/>
        <item x="627"/>
        <item x="172"/>
        <item x="32"/>
        <item x="38"/>
        <item x="411"/>
        <item x="352"/>
        <item x="483"/>
        <item x="149"/>
        <item x="619"/>
        <item x="40"/>
        <item x="455"/>
        <item x="269"/>
        <item x="160"/>
        <item x="415"/>
        <item x="534"/>
        <item x="195"/>
        <item x="391"/>
        <item x="561"/>
        <item x="138"/>
        <item x="538"/>
        <item x="136"/>
        <item x="717"/>
        <item x="466"/>
        <item x="408"/>
        <item x="542"/>
        <item x="463"/>
        <item x="444"/>
        <item x="653"/>
        <item x="241"/>
        <item x="673"/>
        <item x="688"/>
        <item x="93"/>
        <item x="568"/>
        <item x="164"/>
        <item x="418"/>
        <item x="503"/>
        <item x="563"/>
        <item x="85"/>
        <item x="393"/>
        <item x="22"/>
        <item x="555"/>
        <item x="350"/>
        <item x="510"/>
        <item x="166"/>
        <item x="13"/>
        <item x="399"/>
        <item x="577"/>
        <item x="211"/>
        <item x="280"/>
        <item x="259"/>
        <item x="685"/>
        <item x="556"/>
        <item x="243"/>
        <item x="570"/>
        <item x="15"/>
        <item x="402"/>
        <item x="16"/>
        <item x="660"/>
        <item x="634"/>
        <item x="395"/>
        <item x="502"/>
        <item x="611"/>
        <item x="682"/>
        <item x="461"/>
        <item x="44"/>
        <item x="299"/>
        <item x="477"/>
        <item x="177"/>
        <item x="62"/>
        <item x="330"/>
        <item x="128"/>
        <item x="206"/>
        <item x="95"/>
        <item x="54"/>
        <item x="440"/>
        <item x="110"/>
        <item x="341"/>
        <item x="98"/>
        <item x="599"/>
        <item x="595"/>
        <item x="24"/>
        <item x="480"/>
        <item x="537"/>
        <item x="368"/>
        <item x="334"/>
        <item x="225"/>
        <item x="223"/>
        <item x="284"/>
        <item x="420"/>
        <item x="187"/>
        <item x="707"/>
        <item x="53"/>
        <item x="297"/>
        <item x="576"/>
        <item x="700"/>
        <item x="61"/>
        <item x="456"/>
        <item x="615"/>
        <item x="112"/>
        <item x="413"/>
        <item x="285"/>
        <item x="442"/>
        <item x="672"/>
        <item x="353"/>
        <item x="366"/>
        <item x="670"/>
        <item x="286"/>
        <item x="549"/>
        <item x="73"/>
        <item x="432"/>
        <item x="462"/>
        <item x="71"/>
        <item x="217"/>
        <item x="662"/>
        <item x="458"/>
        <item x="179"/>
        <item x="703"/>
        <item x="25"/>
        <item x="221"/>
        <item x="289"/>
        <item x="422"/>
        <item x="544"/>
        <item x="50"/>
        <item x="491"/>
        <item x="527"/>
        <item x="648"/>
        <item x="309"/>
        <item x="581"/>
        <item x="252"/>
        <item x="560"/>
        <item x="302"/>
        <item x="232"/>
        <item x="529"/>
        <item x="308"/>
        <item x="423"/>
        <item x="321"/>
        <item x="412"/>
        <item x="190"/>
        <item x="669"/>
        <item x="249"/>
        <item x="196"/>
        <item x="430"/>
        <item x="104"/>
        <item x="665"/>
        <item x="533"/>
        <item x="198"/>
        <item x="638"/>
        <item x="518"/>
        <item x="541"/>
        <item x="582"/>
        <item x="229"/>
        <item x="361"/>
        <item x="416"/>
        <item x="3"/>
        <item x="20"/>
        <item x="64"/>
        <item x="617"/>
        <item x="659"/>
        <item x="623"/>
        <item x="589"/>
        <item x="475"/>
        <item x="19"/>
        <item x="645"/>
        <item x="335"/>
        <item x="311"/>
        <item x="683"/>
        <item x="68"/>
        <item x="224"/>
        <item x="579"/>
        <item x="194"/>
        <item x="281"/>
        <item x="524"/>
        <item x="550"/>
        <item x="610"/>
        <item x="548"/>
        <item x="604"/>
        <item x="381"/>
        <item x="244"/>
        <item x="296"/>
        <item x="511"/>
        <item x="34"/>
        <item x="315"/>
        <item x="508"/>
        <item x="318"/>
        <item x="122"/>
        <item x="467"/>
        <item x="622"/>
        <item x="531"/>
        <item x="84"/>
        <item x="497"/>
        <item x="42"/>
        <item x="705"/>
        <item x="336"/>
        <item x="132"/>
        <item x="1"/>
        <item x="199"/>
        <item x="210"/>
        <item x="255"/>
        <item x="266"/>
        <item x="516"/>
        <item x="114"/>
        <item x="372"/>
        <item x="332"/>
        <item x="403"/>
        <item x="222"/>
        <item x="100"/>
        <item x="647"/>
        <item x="419"/>
        <item x="699"/>
        <item x="374"/>
        <item x="630"/>
        <item x="88"/>
        <item x="588"/>
        <item x="153"/>
        <item x="303"/>
        <item x="536"/>
        <item x="41"/>
        <item x="113"/>
        <item x="143"/>
        <item x="161"/>
        <item x="598"/>
        <item x="238"/>
        <item x="134"/>
        <item x="307"/>
        <item x="590"/>
        <item x="704"/>
        <item x="674"/>
        <item x="49"/>
        <item x="464"/>
        <item x="663"/>
        <item x="328"/>
        <item x="501"/>
        <item x="558"/>
        <item x="293"/>
        <item x="552"/>
        <item x="512"/>
        <item x="262"/>
        <item x="59"/>
        <item x="347"/>
        <item x="657"/>
        <item x="624"/>
        <item x="173"/>
        <item x="554"/>
        <item x="715"/>
        <item x="359"/>
        <item x="675"/>
        <item x="140"/>
        <item x="543"/>
        <item x="551"/>
        <item x="474"/>
        <item x="257"/>
        <item x="584"/>
        <item x="267"/>
        <item x="637"/>
        <item x="709"/>
        <item x="214"/>
        <item x="101"/>
        <item x="587"/>
        <item x="382"/>
        <item x="694"/>
        <item x="711"/>
        <item x="326"/>
        <item x="300"/>
        <item x="447"/>
        <item x="47"/>
        <item x="620"/>
        <item x="245"/>
        <item x="250"/>
        <item x="580"/>
        <item x="378"/>
        <item x="324"/>
        <item x="546"/>
        <item x="567"/>
        <item x="479"/>
        <item x="204"/>
        <item x="470"/>
        <item x="256"/>
        <item x="186"/>
        <item x="678"/>
        <item x="120"/>
        <item x="667"/>
        <item x="404"/>
        <item x="126"/>
        <item x="421"/>
        <item x="275"/>
        <item x="572"/>
        <item x="398"/>
        <item x="312"/>
        <item x="566"/>
        <item x="571"/>
        <item x="35"/>
        <item x="594"/>
        <item x="392"/>
        <item x="165"/>
        <item x="67"/>
        <item x="58"/>
        <item x="425"/>
        <item x="148"/>
        <item x="459"/>
        <item x="505"/>
        <item x="339"/>
        <item x="656"/>
        <item x="4"/>
        <item x="451"/>
        <item x="559"/>
        <item x="626"/>
        <item x="452"/>
        <item x="310"/>
        <item x="573"/>
        <item x="654"/>
        <item x="386"/>
        <item x="282"/>
        <item x="714"/>
        <item x="592"/>
        <item x="509"/>
        <item x="387"/>
        <item x="472"/>
        <item x="83"/>
        <item x="118"/>
        <item x="96"/>
        <item x="283"/>
        <item x="569"/>
        <item x="75"/>
        <item x="276"/>
        <item x="692"/>
        <item x="212"/>
        <item x="268"/>
        <item x="70"/>
        <item x="154"/>
        <item x="111"/>
        <item x="226"/>
        <item x="583"/>
        <item x="409"/>
        <item x="428"/>
        <item x="608"/>
        <item x="385"/>
        <item x="397"/>
        <item x="294"/>
        <item x="106"/>
        <item x="696"/>
        <item x="99"/>
        <item x="695"/>
        <item x="131"/>
        <item x="523"/>
        <item x="564"/>
        <item x="606"/>
        <item x="406"/>
        <item x="342"/>
        <item x="159"/>
        <item x="712"/>
        <item x="488"/>
        <item x="349"/>
        <item x="433"/>
        <item x="279"/>
        <item x="493"/>
        <item x="33"/>
        <item x="10"/>
        <item x="145"/>
        <item x="103"/>
        <item x="686"/>
        <item x="631"/>
        <item x="658"/>
        <item x="7"/>
        <item x="522"/>
        <item x="370"/>
        <item x="185"/>
        <item x="108"/>
        <item x="37"/>
        <item x="635"/>
        <item x="193"/>
        <item x="460"/>
        <item x="414"/>
        <item x="216"/>
        <item x="492"/>
        <item x="76"/>
        <item x="354"/>
        <item x="495"/>
        <item x="26"/>
        <item x="528"/>
        <item x="207"/>
        <item x="121"/>
        <item x="565"/>
        <item x="431"/>
        <item x="666"/>
        <item x="123"/>
        <item t="default"/>
      </items>
    </pivotField>
    <pivotField compact="0" showAll="0">
      <items count="5">
        <item x="0"/>
        <item x="3"/>
        <item x="1"/>
        <item x="2"/>
        <item t="default"/>
      </items>
    </pivotField>
    <pivotField compact="0" showAll="0"/>
    <pivotField compact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8" baseField="3" baseItem="0"/>
  </dataFields>
  <formats count="24">
    <format dxfId="70">
      <pivotArea type="all" dataOnly="0" outline="0" fieldPosition="0"/>
    </format>
    <format dxfId="71">
      <pivotArea outline="0" collapsedLevelsAreSubtotals="1" fieldPosition="0"/>
    </format>
    <format dxfId="72">
      <pivotArea field="3" type="button" dataOnly="0" labelOnly="1" outline="0" fieldPosition="0"/>
    </format>
    <format dxfId="73">
      <pivotArea dataOnly="0" labelOnly="1" outline="0" fieldPosition="0"/>
    </format>
    <format dxfId="74">
      <pivotArea dataOnly="0" labelOnly="1" outline="0" fieldPosition="0">
        <references count="1">
          <reference field="3" count="0"/>
        </references>
      </pivotArea>
    </format>
    <format dxfId="75">
      <pivotArea dataOnly="0" labelOnly="1" grandRow="1" outline="0" fieldPosition="0"/>
    </format>
    <format dxfId="76">
      <pivotArea dataOnly="0" labelOnly="1" outline="0" fieldPosition="0"/>
    </format>
    <format dxfId="77">
      <pivotArea type="all" dataOnly="0" outline="0" fieldPosition="0"/>
    </format>
    <format dxfId="78">
      <pivotArea outline="0" collapsedLevelsAreSubtotals="1" fieldPosition="0"/>
    </format>
    <format dxfId="79">
      <pivotArea field="3" type="button" dataOnly="0" labelOnly="1" outline="0" fieldPosition="0"/>
    </format>
    <format dxfId="80">
      <pivotArea dataOnly="0" labelOnly="1" outline="0" fieldPosition="0"/>
    </format>
    <format dxfId="81">
      <pivotArea dataOnly="0" labelOnly="1" outline="0" fieldPosition="0">
        <references count="1">
          <reference field="3" count="0"/>
        </references>
      </pivotArea>
    </format>
    <format dxfId="82">
      <pivotArea dataOnly="0" labelOnly="1" grandRow="1" outline="0" fieldPosition="0"/>
    </format>
    <format dxfId="83">
      <pivotArea dataOnly="0" labelOnly="1" outline="0" fieldPosition="0"/>
    </format>
    <format dxfId="84">
      <pivotArea dataOnly="0" fieldPosition="0">
        <references count="1">
          <reference field="3" count="0"/>
        </references>
      </pivotArea>
    </format>
    <format dxfId="85">
      <pivotArea type="all" dataOnly="0" outline="0" fieldPosition="0"/>
    </format>
    <format dxfId="86">
      <pivotArea outline="0" collapsedLevelsAreSubtotals="1" fieldPosition="0"/>
    </format>
    <format dxfId="87">
      <pivotArea field="3" type="button" dataOnly="0" labelOnly="1" outline="0" fieldPosition="0"/>
    </format>
    <format dxfId="88">
      <pivotArea dataOnly="0" labelOnly="1" outline="0" fieldPosition="0"/>
    </format>
    <format dxfId="89">
      <pivotArea dataOnly="0" labelOnly="1" outline="0" fieldPosition="0">
        <references count="1">
          <reference field="3" count="0"/>
        </references>
      </pivotArea>
    </format>
    <format dxfId="90">
      <pivotArea dataOnly="0" labelOnly="1" grandRow="1" outline="0" fieldPosition="0"/>
    </format>
    <format dxfId="91">
      <pivotArea dataOnly="0" labelOnly="1" outline="0" fieldPosition="0"/>
    </format>
    <format dxfId="92">
      <pivotArea dataOnly="0" grandRow="1" fieldPosition="0"/>
    </format>
    <format dxfId="93">
      <pivotArea grandRow="1"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ore_Location" sourceName="Store_Location">
  <pivotTables>
    <pivotTable tabId="4" name="PivotTable3"/>
    <pivotTable tabId="4" name="PivotTable4"/>
    <pivotTable tabId="4" name="PivotTable5"/>
    <pivotTable tabId="4" name="PivotTable6"/>
    <pivotTable tabId="4" name="PivotTable7"/>
  </pivotTables>
  <data>
    <tabular pivotCacheId="1">
      <items count="5">
        <i x="4" s="1"/>
        <i x="1" s="1"/>
        <i x="2" s="1"/>
        <i x="3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les_Amount" sourceName="Sales_Amount">
  <pivotTables>
    <pivotTable tabId="4" name="PivotTable3"/>
    <pivotTable tabId="4" name="PivotTable4"/>
    <pivotTable tabId="4" name="PivotTable5"/>
    <pivotTable tabId="4" name="PivotTable6"/>
    <pivotTable tabId="4" name="PivotTable7"/>
  </pivotTables>
  <data>
    <tabular pivotCacheId="1">
      <items count="759">
        <i x="727" s="1"/>
        <i x="538" s="1"/>
        <i x="730" s="1"/>
        <i x="81" s="1"/>
        <i x="628" s="1"/>
        <i x="36" s="1"/>
        <i x="193" s="1"/>
        <i x="175" s="1"/>
        <i x="732" s="1"/>
        <i x="461" s="1"/>
        <i x="651" s="1"/>
        <i x="74" s="1"/>
        <i x="638" s="1"/>
        <i x="6" s="1"/>
        <i x="362" s="1"/>
        <i x="708" s="1"/>
        <i x="518" s="1"/>
        <i x="571" s="1"/>
        <i x="536" s="1"/>
        <i x="740" s="1"/>
        <i x="374" s="1"/>
        <i x="354" s="1"/>
        <i x="552" s="1"/>
        <i x="268" s="1"/>
        <i x="658" s="1"/>
        <i x="560" s="1"/>
        <i x="558" s="1"/>
        <i x="721" s="1"/>
        <i x="548" s="1"/>
        <i x="384" s="1"/>
        <i x="635" s="1"/>
        <i x="188" s="1"/>
        <i x="273" s="1"/>
        <i x="640" s="1"/>
        <i x="229" s="1"/>
        <i x="46" s="1"/>
        <i x="28" s="1"/>
        <i x="290" s="1"/>
        <i x="340" s="1"/>
        <i x="165" s="1"/>
        <i x="244" s="1"/>
        <i x="176" s="1"/>
        <i x="129" s="1"/>
        <i x="711" s="1"/>
        <i x="125" s="1"/>
        <i x="557" s="1"/>
        <i x="194" s="1"/>
        <i x="529" s="1"/>
        <i x="642" s="1"/>
        <i x="504" s="1"/>
        <i x="104" s="1"/>
        <i x="5" s="1"/>
        <i x="486" s="1"/>
        <i x="574" s="1"/>
        <i x="382" s="1"/>
        <i x="525" s="1"/>
        <i x="724" s="1"/>
        <i x="254" s="1"/>
        <i x="592" s="1"/>
        <i x="698" s="1"/>
        <i x="736" s="1"/>
        <i x="688" s="1"/>
        <i x="445" s="1"/>
        <i x="225" s="1"/>
        <i x="580" s="1"/>
        <i x="421" s="1"/>
        <i x="615" s="1"/>
        <i x="581" s="1"/>
        <i x="393" s="1"/>
        <i x="746" s="1"/>
        <i x="701" s="1"/>
        <i x="741" s="1"/>
        <i x="649" s="1"/>
        <i x="55" s="1"/>
        <i x="328" s="1"/>
        <i x="748" s="1"/>
        <i x="113" s="1"/>
        <i x="283" s="1"/>
        <i x="43" s="1"/>
        <i x="744" s="1"/>
        <i x="397" s="1"/>
        <i x="102" s="1"/>
        <i x="572" s="1"/>
        <i x="391" s="1"/>
        <i x="52" s="1"/>
        <i x="706" s="1"/>
        <i x="535" s="1"/>
        <i x="339" s="1"/>
        <i x="180" s="1"/>
        <i x="187" s="1"/>
        <i x="639" s="1"/>
        <i x="119" s="1"/>
        <i x="213" s="1"/>
        <i x="621" s="1"/>
        <i x="65" s="1"/>
        <i x="539" s="1"/>
        <i x="662" s="1"/>
        <i x="94" s="1"/>
        <i x="66" s="1"/>
        <i x="378" s="1"/>
        <i x="9" s="1"/>
        <i x="154" s="1"/>
        <i x="396" s="1"/>
        <i x="369" s="1"/>
        <i x="494" s="1"/>
        <i x="228" s="1"/>
        <i x="429" s="1"/>
        <i x="256" s="1"/>
        <i x="51" s="1"/>
        <i x="566" s="1"/>
        <i x="116" s="1"/>
        <i x="377" s="1"/>
        <i x="140" s="1"/>
        <i x="12" s="1"/>
        <i x="245" s="1"/>
        <i x="404" s="1"/>
        <i x="270" s="1"/>
        <i x="138" s="1"/>
        <i x="251" s="1"/>
        <i x="553" s="1"/>
        <i x="530" s="1"/>
        <i x="379" s="1"/>
        <i x="257" s="1"/>
        <i x="671" s="1"/>
        <i x="511" s="1"/>
        <i x="192" s="1"/>
        <i x="389" s="1"/>
        <i x="183" s="1"/>
        <i x="48" s="1"/>
        <i x="21" s="1"/>
        <i x="363" s="1"/>
        <i x="217" s="1"/>
        <i x="666" s="1"/>
        <i x="492" s="1"/>
        <i x="381" s="1"/>
        <i x="475" s="1"/>
        <i x="29" s="1"/>
        <i x="276" s="1"/>
        <i x="579" s="1"/>
        <i x="650" s="1"/>
        <i x="196" s="1"/>
        <i x="100" s="1"/>
        <i x="582" s="1"/>
        <i x="346" s="1"/>
        <i x="388" s="1"/>
        <i x="96" s="1"/>
        <i x="300" s="1"/>
        <i x="705" s="1"/>
        <i x="540" s="1"/>
        <i x="654" s="1"/>
        <i x="513" s="1"/>
        <i x="95" s="1"/>
        <i x="427" s="1"/>
        <i x="333" s="1"/>
        <i x="210" s="1"/>
        <i x="190" s="1"/>
        <i x="758" s="1"/>
        <i x="141" s="1"/>
        <i x="499" s="1"/>
        <i x="207" s="1"/>
        <i x="249" s="1"/>
        <i x="570" s="1"/>
        <i x="312" s="1"/>
        <i x="324" s="1"/>
        <i x="647" s="1"/>
        <i x="304" s="1"/>
        <i x="17" s="1"/>
        <i x="480" s="1"/>
        <i x="457" s="1"/>
        <i x="585" s="1"/>
        <i x="501" s="1"/>
        <i x="514" s="1"/>
        <i x="157" s="1"/>
        <i x="280" s="1"/>
        <i x="648" s="1"/>
        <i x="334" s="1"/>
        <i x="170" s="1"/>
        <i x="476" s="1"/>
        <i x="361" s="1"/>
        <i x="509" s="1"/>
        <i x="262" s="1"/>
        <i x="93" s="1"/>
        <i x="757" s="1"/>
        <i x="286" s="1"/>
        <i x="31" s="1"/>
        <i x="82" s="1"/>
        <i x="410" s="1"/>
        <i x="401" s="1"/>
        <i x="368" s="1"/>
        <i x="166" s="1"/>
        <i x="299" s="1"/>
        <i x="201" s="1"/>
        <i x="57" s="1"/>
        <i x="426" s="1"/>
        <i x="683" s="1"/>
        <i x="39" s="1"/>
        <i x="329" s="1"/>
        <i x="498" s="1"/>
        <i x="23" s="1"/>
        <i x="714" s="1"/>
        <i x="342" s="1"/>
        <i x="294" s="1"/>
        <i x="127" s="1"/>
        <i x="675" s="1"/>
        <i x="124" s="1"/>
        <i x="160" s="1"/>
        <i x="408" s="1"/>
        <i x="469" s="1"/>
        <i x="728" s="1"/>
        <i x="528" s="1"/>
        <i x="738" s="1"/>
        <i x="184" s="1"/>
        <i x="223" s="1"/>
        <i x="681" s="1"/>
        <i x="306" s="1"/>
        <i x="619" s="1"/>
        <i x="551" s="1"/>
        <i x="258" s="1"/>
        <i x="364" s="1"/>
        <i x="453" s="1"/>
        <i x="171" s="1"/>
        <i x="462" s="1"/>
        <i x="684" s="1"/>
        <i x="471" s="1"/>
        <i x="573" s="1"/>
        <i x="237" s="1"/>
        <i x="755" s="1"/>
        <i x="718" s="1"/>
        <i x="347" s="1"/>
        <i x="151" s="1"/>
        <i x="181" s="1"/>
        <i x="203" s="1"/>
        <i x="260" s="1"/>
        <i x="200" s="1"/>
        <i x="327" s="1"/>
        <i x="263" s="1"/>
        <i x="275" s="1"/>
        <i x="456" s="1"/>
        <i x="79" s="1"/>
        <i x="169" s="1"/>
        <i x="287" s="1"/>
        <i x="437" s="1"/>
        <i x="411" s="1"/>
        <i x="358" s="1"/>
        <i x="424" s="1"/>
        <i x="282" s="1"/>
        <i x="266" s="1"/>
        <i x="484" s="1"/>
        <i x="85" s="1"/>
        <i x="344" s="1"/>
        <i x="454" s="1"/>
        <i x="239" s="1"/>
        <i x="680" s="1"/>
        <i x="83" s="1"/>
        <i x="284" s="1"/>
        <i x="137" s="1"/>
        <i x="446" s="1"/>
        <i x="134" s="1"/>
        <i x="70" s="1"/>
        <i x="466" s="1"/>
        <i x="704" s="1"/>
        <i x="604" s="1"/>
        <i x="63" s="1"/>
        <i x="84" s="1"/>
        <i x="664" s="1"/>
        <i x="726" s="1"/>
        <i x="76" s="1"/>
        <i x="243" s="1"/>
        <i x="546" s="1"/>
        <i x="689" s="1"/>
        <i x="390" s="1"/>
        <i x="412" s="1"/>
        <i x="27" s="1"/>
        <i x="297" s="1"/>
        <i x="149" s="1"/>
        <i x="512" s="1"/>
        <i x="32" s="1"/>
        <i x="586" s="1"/>
        <i x="2" s="1"/>
        <i x="700" s="1"/>
        <i x="451" s="1"/>
        <i x="660" s="1"/>
        <i x="569" s="1"/>
        <i x="216" s="1"/>
        <i x="674" s="1"/>
        <i x="743" s="1"/>
        <i x="605" s="1"/>
        <i x="338" s="1"/>
        <i x="315" s="1"/>
        <i x="182" s="1"/>
        <i x="612" s="1"/>
        <i x="526" s="1"/>
        <i x="331" s="1"/>
        <i x="147" s="1"/>
        <i x="380" s="1"/>
        <i x="418" s="1"/>
        <i x="631" s="1"/>
        <i x="614" s="1"/>
        <i x="240" s="1"/>
        <i x="308" s="1"/>
        <i x="353" s="1"/>
        <i x="110" s="1"/>
        <i x="271" s="1"/>
        <i x="517" s="1"/>
        <i x="11" s="1"/>
        <i x="281" s="1"/>
        <i x="477" s="1"/>
        <i x="496" s="1"/>
        <i x="482" s="1"/>
        <i x="568" s="1"/>
        <i x="250" s="1"/>
        <i x="395" s="1"/>
        <i x="161" s="1"/>
        <i x="349" s="1"/>
        <i x="387" s="1"/>
        <i x="419" s="1"/>
        <i x="729" s="1"/>
        <i x="415" s="1"/>
        <i x="56" s="1"/>
        <i x="341" s="1"/>
        <i x="155" s="1"/>
        <i x="335" s="1"/>
        <i x="144" s="1"/>
        <i x="590" s="1"/>
        <i x="468" s="1"/>
        <i x="622" s="1"/>
        <i x="92" s="1"/>
        <i x="507" s="1"/>
        <i x="533" s="1"/>
        <i x="686" s="1"/>
        <i x="150" s="1"/>
        <i x="610" s="1"/>
        <i x="185" s="1"/>
        <i x="173" s="1"/>
        <i x="633" s="1"/>
        <i x="491" s="1"/>
        <i x="115" s="1"/>
        <i x="371" s="1"/>
        <i x="682" s="1"/>
        <i x="563" s="1"/>
        <i x="337" s="1"/>
        <i x="753" s="1"/>
        <i x="567" s="1"/>
        <i x="146" s="1"/>
        <i x="722" s="1"/>
        <i x="195" s="1"/>
        <i x="406" s="1"/>
        <i x="519" s="1"/>
        <i x="576" s="1"/>
        <i x="629" s="1"/>
        <i x="15" s="1"/>
        <i x="139" s="1"/>
        <i x="355" s="1"/>
        <i x="121" s="1"/>
        <i x="510" s="1"/>
        <i x="71" s="1"/>
        <i x="699" s="1"/>
        <i x="549" s="1"/>
        <i x="607" s="1"/>
        <i x="211" s="1"/>
        <i x="199" s="1"/>
        <i x="399" s="1"/>
        <i x="669" s="1"/>
        <i x="719" s="1"/>
        <i x="532" s="1"/>
        <i x="0" s="1"/>
        <i x="392" s="1"/>
        <i x="645" s="1"/>
        <i x="295" s="1"/>
        <i x="247" s="1"/>
        <i x="634" s="1"/>
        <i x="707" s="1"/>
        <i x="67" s="1"/>
        <i x="383" s="1"/>
        <i x="439" s="1"/>
        <i x="597" s="1"/>
        <i x="54" s="1"/>
        <i x="30" s="1"/>
        <i x="594" s="1"/>
        <i x="372" s="1"/>
        <i x="22" s="1"/>
        <i x="676" s="1"/>
        <i x="330" s="1"/>
        <i x="523" s="1"/>
        <i x="430" s="1"/>
        <i x="158" s="1"/>
        <i x="205" s="1"/>
        <i x="643" s="1"/>
        <i x="646" s="1"/>
        <i x="376" s="1"/>
        <i x="655" s="1"/>
        <i x="386" s="1"/>
        <i x="712" s="1"/>
        <i x="164" s="1"/>
        <i x="447" s="1"/>
        <i x="16" s="1"/>
        <i x="756" s="1"/>
        <i x="261" s="1"/>
        <i x="14" s="1"/>
        <i x="8" s="1"/>
        <i x="80" s="1"/>
        <i x="97" s="1"/>
        <i x="60" s="1"/>
        <i x="394" s="1"/>
        <i x="505" s="1"/>
        <i x="90" s="1"/>
        <i x="45" s="1"/>
        <i x="561" s="1"/>
        <i x="89" s="1"/>
        <i x="13" s="1"/>
        <i x="105" s="1"/>
        <i x="293" s="1"/>
        <i x="734" s="1"/>
        <i x="62" s="1"/>
        <i x="433" s="1"/>
        <i x="474" s="1"/>
        <i x="148" s="1"/>
        <i x="253" s="1"/>
        <i x="224" s="1"/>
        <i x="348" s="1"/>
        <i x="359" s="1"/>
        <i x="595" s="1"/>
        <i x="516" s="1"/>
        <i x="313" s="1"/>
        <i x="296" s="1"/>
        <i x="656" s="1"/>
        <i x="98" s="1"/>
        <i x="575" s="1"/>
        <i x="565" s="1"/>
        <i x="18" s="1"/>
        <i x="88" s="1"/>
        <i x="135" s="1"/>
        <i x="422" s="1"/>
        <i x="214" s="1"/>
        <i x="246" s="1"/>
        <i x="109" s="1"/>
        <i x="495" s="1"/>
        <i x="747" s="1"/>
        <i x="485" s="1"/>
        <i x="434" s="1"/>
        <i x="441" s="1"/>
        <i x="234" s="1"/>
        <i x="613" s="1"/>
        <i x="236" s="1"/>
        <i x="40" s="1"/>
        <i x="460" s="1"/>
        <i x="679" s="1"/>
        <i x="202" s="1"/>
        <i x="450" s="1"/>
        <i x="242" s="1"/>
        <i x="163" s="1"/>
        <i x="314" s="1"/>
        <i x="318" s="1"/>
        <i x="587" s="1"/>
        <i x="473" s="1"/>
        <i x="99" s="1"/>
        <i x="416" s="1"/>
        <i x="481" s="1"/>
        <i x="524" s="1"/>
        <i x="132" s="1"/>
        <i x="19" s="1"/>
        <i x="443" s="1"/>
        <i x="742" s="1"/>
        <i x="143" s="1"/>
        <i x="703" s="1"/>
        <i x="279" s="1"/>
        <i x="153" s="1"/>
        <i x="467" s="1"/>
        <i x="463" s="1"/>
        <i x="370" s="1"/>
        <i x="357" s="1"/>
        <i x="603" s="1"/>
        <i x="678" s="1"/>
        <i x="321" s="1"/>
        <i x="3" s="1"/>
        <i x="1" s="1"/>
        <i x="53" s="1"/>
        <i x="126" s="1"/>
        <i x="241" s="1"/>
        <i x="38" s="1"/>
        <i x="307" s="1"/>
        <i x="219" s="1"/>
        <i x="723" s="1"/>
        <i x="311" s="1"/>
        <i x="465" s="1"/>
        <i x="432" s="1"/>
        <i x="487" s="1"/>
        <i x="305" s="1"/>
        <i x="632" s="1"/>
        <i x="420" s="1"/>
        <i x="343" s="1"/>
        <i x="118" s="1"/>
        <i x="577" s="1"/>
        <i x="252" s="1"/>
        <i x="145" s="1"/>
        <i x="497" s="1"/>
        <i x="272" s="1"/>
        <i x="625" s="1"/>
        <i x="20" s="1"/>
        <i x="298" s="1"/>
        <i x="403" s="1"/>
        <i x="69" s="1"/>
        <i x="444" s="1"/>
        <i x="637" s="1"/>
        <i x="483" s="1"/>
        <i x="326" s="1"/>
        <i x="670" s="1"/>
        <i x="218" s="1"/>
        <i x="428" s="1"/>
        <i x="449" s="1"/>
        <i x="506" s="1"/>
        <i x="543" s="1"/>
        <i x="672" s="1"/>
        <i x="177" s="1"/>
        <i x="59" s="1"/>
        <i x="584" s="1"/>
        <i x="222" s="1"/>
        <i x="717" s="1"/>
        <i x="269" s="1"/>
        <i x="697" s="1"/>
        <i x="73" s="1"/>
        <i x="289" s="1"/>
        <i x="490" s="1"/>
        <i x="503" s="1"/>
        <i x="44" s="1"/>
        <i x="534" s="1"/>
        <i x="267" s="1"/>
        <i x="231" s="1"/>
        <i x="550" s="1"/>
        <i x="366" s="1"/>
        <i x="230" s="1"/>
        <i x="108" s="1"/>
        <i x="425" s="1"/>
        <i x="593" s="1"/>
        <i x="375" s="1"/>
        <i x="25" s="1"/>
        <i x="277" s="1"/>
        <i x="616" s="1"/>
        <i x="75" s="1"/>
        <i x="316" s="1"/>
        <i x="737" s="1"/>
        <i x="319" s="1"/>
        <i x="713" s="1"/>
        <i x="255" s="1"/>
        <i x="103" s="1"/>
        <i x="323" s="1"/>
        <i x="189" s="1"/>
        <i x="42" s="1"/>
        <i x="661" s="1"/>
        <i x="488" s="1"/>
        <i x="179" s="1"/>
        <i x="47" s="1"/>
        <i x="232" s="1"/>
        <i x="440" s="1"/>
        <i x="152" s="1"/>
        <i x="710" s="1"/>
        <i x="659" s="1"/>
        <i x="620" s="1"/>
        <i x="409" s="1"/>
        <i x="87" s="1"/>
        <i x="112" s="1"/>
        <i x="694" s="1"/>
        <i x="715" s="1"/>
        <i x="303" s="1"/>
        <i x="562" s="1"/>
        <i x="623" s="1"/>
        <i x="601" s="1"/>
        <i x="749" s="1"/>
        <i x="221" s="1"/>
        <i x="206" s="1"/>
        <i x="541" s="1"/>
        <i x="544" s="1"/>
        <i x="24" s="1"/>
        <i x="508" s="1"/>
        <i x="34" s="1"/>
        <i x="352" s="1"/>
        <i x="641" s="1"/>
        <i x="345" s="1"/>
        <i x="702" s="1"/>
        <i x="464" s="1"/>
        <i x="208" s="1"/>
        <i x="174" s="1"/>
        <i x="332" s="1"/>
        <i x="301" s="1"/>
        <i x="618" s="1"/>
        <i x="739" s="1"/>
        <i x="264" s="1"/>
        <i x="41" s="1"/>
        <i x="588" s="1"/>
        <i x="624" s="1"/>
        <i x="336" s="1"/>
        <i x="198" s="1"/>
        <i x="61" s="1"/>
        <i x="49" s="1"/>
        <i x="630" s="1"/>
        <i x="405" s="1"/>
        <i x="91" s="1"/>
        <i x="317" s="1"/>
        <i x="693" s="1"/>
        <i x="50" s="1"/>
        <i x="259" s="1"/>
        <i x="178" s="1"/>
        <i x="309" s="1"/>
        <i x="720" s="1"/>
        <i x="156" s="1"/>
        <i x="162" s="1"/>
        <i x="556" s="1"/>
        <i x="310" s="1"/>
        <i x="204" s="1"/>
        <i x="657" s="1"/>
        <i x="186" s="1"/>
        <i x="545" s="1"/>
        <i x="191" s="1"/>
        <i x="589" s="1"/>
        <i x="600" s="1"/>
        <i x="233" s="1"/>
        <i x="472" s="1"/>
        <i x="58" s="1"/>
        <i x="285" s="1"/>
        <i x="238" s="1"/>
        <i x="167" s="1"/>
        <i x="122" s="1"/>
        <i x="493" s="1"/>
        <i x="77" s="1"/>
        <i x="685" s="1"/>
        <i x="690" s="1"/>
        <i x="479" s="1"/>
        <i x="602" s="1"/>
        <i x="123" s="1"/>
        <i x="227" s="1"/>
        <i x="591" s="1"/>
        <i x="448" s="1"/>
        <i x="322" s="1"/>
        <i x="636" s="1"/>
        <i x="235" s="1"/>
        <i x="692" s="1"/>
        <i x="752" s="1"/>
        <i x="128" s="1"/>
        <i x="438" s="1"/>
        <i x="531" s="1"/>
        <i x="64" s="1"/>
        <i x="367" s="1"/>
        <i x="583" s="1"/>
        <i x="564" s="1"/>
        <i x="455" s="1"/>
        <i x="320" s="1"/>
        <i x="611" s="1"/>
        <i x="745" s="1"/>
        <i x="417" s="1"/>
        <i x="325" s="1"/>
        <i x="278" s="1"/>
        <i x="212" s="1"/>
        <i x="559" s="1"/>
        <i x="452" s="1"/>
        <i x="423" s="1"/>
        <i x="274" s="1"/>
        <i x="172" s="1"/>
        <i x="72" s="1"/>
        <i x="696" s="1"/>
        <i x="458" s="1"/>
        <i x="665" s="1"/>
        <i x="400" s="1"/>
        <i x="609" s="1"/>
        <i x="627" s="1"/>
        <i x="142" s="1"/>
        <i x="435" s="1"/>
        <i x="687" s="1"/>
        <i x="209" s="1"/>
        <i x="663" s="1"/>
        <i x="136" s="1"/>
        <i x="291" s="1"/>
        <i x="652" s="1"/>
        <i x="402" s="1"/>
        <i x="733" s="1"/>
        <i x="33" s="1"/>
        <i x="667" s="1"/>
        <i x="248" s="1"/>
        <i x="751" s="1"/>
        <i x="413" s="1"/>
        <i x="527" s="1"/>
        <i x="735" s="1"/>
        <i x="691" s="1"/>
        <i x="350" s="1"/>
        <i x="111" s="1"/>
        <i x="677" s="1"/>
        <i x="265" s="1"/>
        <i x="542" s="1"/>
        <i x="7" s="1"/>
        <i x="302" s="1"/>
        <i x="107" s="1"/>
        <i x="555" s="1"/>
        <i x="288" s="1"/>
        <i x="470" s="1"/>
        <i x="68" s="1"/>
        <i x="709" s="1"/>
        <i x="385" s="1"/>
        <i x="168" s="1"/>
        <i x="547" s="1"/>
        <i x="398" s="1"/>
        <i x="653" s="1"/>
        <i x="117" s="1"/>
        <i x="360" s="1"/>
        <i x="731" s="1"/>
        <i x="351" s="1"/>
        <i x="114" s="1"/>
        <i x="515" s="1"/>
        <i x="35" s="1"/>
        <i x="626" s="1"/>
        <i x="554" s="1"/>
        <i x="695" s="1"/>
        <i x="10" s="1"/>
        <i x="159" s="1"/>
        <i x="120" s="1"/>
        <i x="500" s="1"/>
        <i x="101" s="1"/>
        <i x="578" s="1"/>
        <i x="598" s="1"/>
        <i x="668" s="1"/>
        <i x="365" s="1"/>
        <i x="673" s="1"/>
        <i x="608" s="1"/>
        <i x="407" s="1"/>
        <i x="617" s="1"/>
        <i x="442" s="1"/>
        <i x="414" s="1"/>
        <i x="4" s="1"/>
        <i x="754" s="1"/>
        <i x="292" s="1"/>
        <i x="26" s="1"/>
        <i x="521" s="1"/>
        <i x="37" s="1"/>
        <i x="226" s="1"/>
        <i x="78" s="1"/>
        <i x="356" s="1"/>
        <i x="596" s="1"/>
        <i x="86" s="1"/>
        <i x="522" s="1"/>
        <i x="725" s="1"/>
        <i x="197" s="1"/>
        <i x="215" s="1"/>
        <i x="537" s="1"/>
        <i x="489" s="1"/>
        <i x="750" s="1"/>
        <i x="478" s="1"/>
        <i x="520" s="1"/>
        <i x="131" s="1"/>
        <i x="606" s="1"/>
        <i x="599" s="1"/>
        <i x="106" s="1"/>
        <i x="373" s="1"/>
        <i x="431" s="1"/>
        <i x="436" s="1"/>
        <i x="133" s="1"/>
        <i x="502" s="1"/>
        <i x="644" s="1"/>
        <i x="716" s="1"/>
        <i x="459" s="1"/>
        <i x="220" s="1"/>
        <i x="13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ransaction_ID" sourceName="Transaction_ID">
  <pivotTables>
    <pivotTable tabId="4" name="PivotTable5"/>
    <pivotTable tabId="4" name="PivotTable3"/>
    <pivotTable tabId="4" name="PivotTable4"/>
    <pivotTable tabId="4" name="PivotTable6"/>
    <pivotTable tabId="4" name="PivotTable7"/>
  </pivotTables>
  <data>
    <tabular pivotCacheId="1">
      <items count="1000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  <i x="70" s="1"/>
        <i x="71" s="1"/>
        <i x="72" s="1"/>
        <i x="73" s="1"/>
        <i x="74" s="1"/>
        <i x="75" s="1"/>
        <i x="76" s="1"/>
        <i x="77" s="1"/>
        <i x="78" s="1"/>
        <i x="79" s="1"/>
        <i x="80" s="1"/>
        <i x="81" s="1"/>
        <i x="82" s="1"/>
        <i x="83" s="1"/>
        <i x="84" s="1"/>
        <i x="85" s="1"/>
        <i x="86" s="1"/>
        <i x="87" s="1"/>
        <i x="88" s="1"/>
        <i x="89" s="1"/>
        <i x="90" s="1"/>
        <i x="91" s="1"/>
        <i x="92" s="1"/>
        <i x="93" s="1"/>
        <i x="94" s="1"/>
        <i x="95" s="1"/>
        <i x="96" s="1"/>
        <i x="97" s="1"/>
        <i x="98" s="1"/>
        <i x="99" s="1"/>
        <i x="100" s="1"/>
        <i x="101" s="1"/>
        <i x="102" s="1"/>
        <i x="103" s="1"/>
        <i x="104" s="1"/>
        <i x="105" s="1"/>
        <i x="106" s="1"/>
        <i x="107" s="1"/>
        <i x="108" s="1"/>
        <i x="109" s="1"/>
        <i x="110" s="1"/>
        <i x="111" s="1"/>
        <i x="112" s="1"/>
        <i x="113" s="1"/>
        <i x="114" s="1"/>
        <i x="115" s="1"/>
        <i x="116" s="1"/>
        <i x="117" s="1"/>
        <i x="118" s="1"/>
        <i x="119" s="1"/>
        <i x="120" s="1"/>
        <i x="121" s="1"/>
        <i x="122" s="1"/>
        <i x="123" s="1"/>
        <i x="124" s="1"/>
        <i x="125" s="1"/>
        <i x="126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37" s="1"/>
        <i x="138" s="1"/>
        <i x="139" s="1"/>
        <i x="140" s="1"/>
        <i x="141" s="1"/>
        <i x="142" s="1"/>
        <i x="143" s="1"/>
        <i x="144" s="1"/>
        <i x="145" s="1"/>
        <i x="146" s="1"/>
        <i x="147" s="1"/>
        <i x="148" s="1"/>
        <i x="149" s="1"/>
        <i x="150" s="1"/>
        <i x="151" s="1"/>
        <i x="152" s="1"/>
        <i x="153" s="1"/>
        <i x="154" s="1"/>
        <i x="155" s="1"/>
        <i x="156" s="1"/>
        <i x="157" s="1"/>
        <i x="158" s="1"/>
        <i x="159" s="1"/>
        <i x="160" s="1"/>
        <i x="161" s="1"/>
        <i x="162" s="1"/>
        <i x="163" s="1"/>
        <i x="164" s="1"/>
        <i x="165" s="1"/>
        <i x="166" s="1"/>
        <i x="167" s="1"/>
        <i x="168" s="1"/>
        <i x="169" s="1"/>
        <i x="170" s="1"/>
        <i x="171" s="1"/>
        <i x="172" s="1"/>
        <i x="173" s="1"/>
        <i x="174" s="1"/>
        <i x="175" s="1"/>
        <i x="176" s="1"/>
        <i x="177" s="1"/>
        <i x="178" s="1"/>
        <i x="179" s="1"/>
        <i x="180" s="1"/>
        <i x="181" s="1"/>
        <i x="182" s="1"/>
        <i x="183" s="1"/>
        <i x="184" s="1"/>
        <i x="185" s="1"/>
        <i x="186" s="1"/>
        <i x="187" s="1"/>
        <i x="188" s="1"/>
        <i x="189" s="1"/>
        <i x="190" s="1"/>
        <i x="191" s="1"/>
        <i x="192" s="1"/>
        <i x="193" s="1"/>
        <i x="194" s="1"/>
        <i x="195" s="1"/>
        <i x="196" s="1"/>
        <i x="197" s="1"/>
        <i x="198" s="1"/>
        <i x="199" s="1"/>
        <i x="200" s="1"/>
        <i x="201" s="1"/>
        <i x="202" s="1"/>
        <i x="203" s="1"/>
        <i x="204" s="1"/>
        <i x="205" s="1"/>
        <i x="206" s="1"/>
        <i x="207" s="1"/>
        <i x="208" s="1"/>
        <i x="209" s="1"/>
        <i x="210" s="1"/>
        <i x="211" s="1"/>
        <i x="212" s="1"/>
        <i x="213" s="1"/>
        <i x="214" s="1"/>
        <i x="215" s="1"/>
        <i x="216" s="1"/>
        <i x="217" s="1"/>
        <i x="218" s="1"/>
        <i x="219" s="1"/>
        <i x="220" s="1"/>
        <i x="221" s="1"/>
        <i x="222" s="1"/>
        <i x="223" s="1"/>
        <i x="224" s="1"/>
        <i x="225" s="1"/>
        <i x="226" s="1"/>
        <i x="227" s="1"/>
        <i x="228" s="1"/>
        <i x="229" s="1"/>
        <i x="230" s="1"/>
        <i x="231" s="1"/>
        <i x="232" s="1"/>
        <i x="233" s="1"/>
        <i x="234" s="1"/>
        <i x="235" s="1"/>
        <i x="236" s="1"/>
        <i x="237" s="1"/>
        <i x="238" s="1"/>
        <i x="239" s="1"/>
        <i x="240" s="1"/>
        <i x="241" s="1"/>
        <i x="242" s="1"/>
        <i x="243" s="1"/>
        <i x="244" s="1"/>
        <i x="245" s="1"/>
        <i x="246" s="1"/>
        <i x="247" s="1"/>
        <i x="248" s="1"/>
        <i x="249" s="1"/>
        <i x="250" s="1"/>
        <i x="251" s="1"/>
        <i x="252" s="1"/>
        <i x="253" s="1"/>
        <i x="254" s="1"/>
        <i x="255" s="1"/>
        <i x="256" s="1"/>
        <i x="257" s="1"/>
        <i x="258" s="1"/>
        <i x="259" s="1"/>
        <i x="260" s="1"/>
        <i x="261" s="1"/>
        <i x="262" s="1"/>
        <i x="263" s="1"/>
        <i x="264" s="1"/>
        <i x="265" s="1"/>
        <i x="266" s="1"/>
        <i x="267" s="1"/>
        <i x="268" s="1"/>
        <i x="269" s="1"/>
        <i x="270" s="1"/>
        <i x="271" s="1"/>
        <i x="272" s="1"/>
        <i x="273" s="1"/>
        <i x="274" s="1"/>
        <i x="275" s="1"/>
        <i x="276" s="1"/>
        <i x="277" s="1"/>
        <i x="278" s="1"/>
        <i x="279" s="1"/>
        <i x="280" s="1"/>
        <i x="281" s="1"/>
        <i x="282" s="1"/>
        <i x="283" s="1"/>
        <i x="284" s="1"/>
        <i x="285" s="1"/>
        <i x="286" s="1"/>
        <i x="287" s="1"/>
        <i x="288" s="1"/>
        <i x="289" s="1"/>
        <i x="290" s="1"/>
        <i x="291" s="1"/>
        <i x="292" s="1"/>
        <i x="293" s="1"/>
        <i x="294" s="1"/>
        <i x="295" s="1"/>
        <i x="296" s="1"/>
        <i x="297" s="1"/>
        <i x="298" s="1"/>
        <i x="299" s="1"/>
        <i x="300" s="1"/>
        <i x="301" s="1"/>
        <i x="302" s="1"/>
        <i x="303" s="1"/>
        <i x="304" s="1"/>
        <i x="305" s="1"/>
        <i x="306" s="1"/>
        <i x="307" s="1"/>
        <i x="308" s="1"/>
        <i x="309" s="1"/>
        <i x="310" s="1"/>
        <i x="311" s="1"/>
        <i x="312" s="1"/>
        <i x="313" s="1"/>
        <i x="314" s="1"/>
        <i x="315" s="1"/>
        <i x="316" s="1"/>
        <i x="317" s="1"/>
        <i x="318" s="1"/>
        <i x="319" s="1"/>
        <i x="320" s="1"/>
        <i x="321" s="1"/>
        <i x="322" s="1"/>
        <i x="323" s="1"/>
        <i x="324" s="1"/>
        <i x="325" s="1"/>
        <i x="326" s="1"/>
        <i x="327" s="1"/>
        <i x="328" s="1"/>
        <i x="329" s="1"/>
        <i x="330" s="1"/>
        <i x="331" s="1"/>
        <i x="332" s="1"/>
        <i x="333" s="1"/>
        <i x="334" s="1"/>
        <i x="335" s="1"/>
        <i x="336" s="1"/>
        <i x="337" s="1"/>
        <i x="338" s="1"/>
        <i x="339" s="1"/>
        <i x="340" s="1"/>
        <i x="341" s="1"/>
        <i x="342" s="1"/>
        <i x="343" s="1"/>
        <i x="344" s="1"/>
        <i x="345" s="1"/>
        <i x="346" s="1"/>
        <i x="347" s="1"/>
        <i x="348" s="1"/>
        <i x="349" s="1"/>
        <i x="350" s="1"/>
        <i x="351" s="1"/>
        <i x="352" s="1"/>
        <i x="353" s="1"/>
        <i x="354" s="1"/>
        <i x="355" s="1"/>
        <i x="356" s="1"/>
        <i x="357" s="1"/>
        <i x="358" s="1"/>
        <i x="359" s="1"/>
        <i x="360" s="1"/>
        <i x="361" s="1"/>
        <i x="362" s="1"/>
        <i x="363" s="1"/>
        <i x="364" s="1"/>
        <i x="365" s="1"/>
        <i x="366" s="1"/>
        <i x="367" s="1"/>
        <i x="368" s="1"/>
        <i x="369" s="1"/>
        <i x="370" s="1"/>
        <i x="371" s="1"/>
        <i x="372" s="1"/>
        <i x="373" s="1"/>
        <i x="374" s="1"/>
        <i x="375" s="1"/>
        <i x="376" s="1"/>
        <i x="377" s="1"/>
        <i x="378" s="1"/>
        <i x="379" s="1"/>
        <i x="380" s="1"/>
        <i x="381" s="1"/>
        <i x="382" s="1"/>
        <i x="383" s="1"/>
        <i x="384" s="1"/>
        <i x="385" s="1"/>
        <i x="386" s="1"/>
        <i x="387" s="1"/>
        <i x="388" s="1"/>
        <i x="389" s="1"/>
        <i x="390" s="1"/>
        <i x="391" s="1"/>
        <i x="392" s="1"/>
        <i x="393" s="1"/>
        <i x="394" s="1"/>
        <i x="395" s="1"/>
        <i x="396" s="1"/>
        <i x="397" s="1"/>
        <i x="398" s="1"/>
        <i x="399" s="1"/>
        <i x="400" s="1"/>
        <i x="401" s="1"/>
        <i x="402" s="1"/>
        <i x="403" s="1"/>
        <i x="404" s="1"/>
        <i x="405" s="1"/>
        <i x="406" s="1"/>
        <i x="407" s="1"/>
        <i x="408" s="1"/>
        <i x="409" s="1"/>
        <i x="410" s="1"/>
        <i x="411" s="1"/>
        <i x="412" s="1"/>
        <i x="413" s="1"/>
        <i x="414" s="1"/>
        <i x="415" s="1"/>
        <i x="416" s="1"/>
        <i x="417" s="1"/>
        <i x="418" s="1"/>
        <i x="419" s="1"/>
        <i x="420" s="1"/>
        <i x="421" s="1"/>
        <i x="422" s="1"/>
        <i x="423" s="1"/>
        <i x="424" s="1"/>
        <i x="425" s="1"/>
        <i x="426" s="1"/>
        <i x="427" s="1"/>
        <i x="428" s="1"/>
        <i x="429" s="1"/>
        <i x="430" s="1"/>
        <i x="431" s="1"/>
        <i x="432" s="1"/>
        <i x="433" s="1"/>
        <i x="434" s="1"/>
        <i x="435" s="1"/>
        <i x="436" s="1"/>
        <i x="437" s="1"/>
        <i x="438" s="1"/>
        <i x="439" s="1"/>
        <i x="440" s="1"/>
        <i x="441" s="1"/>
        <i x="442" s="1"/>
        <i x="443" s="1"/>
        <i x="444" s="1"/>
        <i x="445" s="1"/>
        <i x="446" s="1"/>
        <i x="447" s="1"/>
        <i x="448" s="1"/>
        <i x="449" s="1"/>
        <i x="450" s="1"/>
        <i x="451" s="1"/>
        <i x="452" s="1"/>
        <i x="453" s="1"/>
        <i x="454" s="1"/>
        <i x="455" s="1"/>
        <i x="456" s="1"/>
        <i x="457" s="1"/>
        <i x="458" s="1"/>
        <i x="459" s="1"/>
        <i x="460" s="1"/>
        <i x="461" s="1"/>
        <i x="462" s="1"/>
        <i x="463" s="1"/>
        <i x="464" s="1"/>
        <i x="465" s="1"/>
        <i x="466" s="1"/>
        <i x="467" s="1"/>
        <i x="468" s="1"/>
        <i x="469" s="1"/>
        <i x="470" s="1"/>
        <i x="471" s="1"/>
        <i x="472" s="1"/>
        <i x="473" s="1"/>
        <i x="474" s="1"/>
        <i x="475" s="1"/>
        <i x="476" s="1"/>
        <i x="477" s="1"/>
        <i x="478" s="1"/>
        <i x="479" s="1"/>
        <i x="480" s="1"/>
        <i x="481" s="1"/>
        <i x="482" s="1"/>
        <i x="483" s="1"/>
        <i x="484" s="1"/>
        <i x="485" s="1"/>
        <i x="486" s="1"/>
        <i x="487" s="1"/>
        <i x="488" s="1"/>
        <i x="489" s="1"/>
        <i x="490" s="1"/>
        <i x="491" s="1"/>
        <i x="492" s="1"/>
        <i x="493" s="1"/>
        <i x="494" s="1"/>
        <i x="495" s="1"/>
        <i x="496" s="1"/>
        <i x="497" s="1"/>
        <i x="498" s="1"/>
        <i x="499" s="1"/>
        <i x="500" s="1"/>
        <i x="501" s="1"/>
        <i x="502" s="1"/>
        <i x="503" s="1"/>
        <i x="504" s="1"/>
        <i x="505" s="1"/>
        <i x="506" s="1"/>
        <i x="507" s="1"/>
        <i x="508" s="1"/>
        <i x="509" s="1"/>
        <i x="510" s="1"/>
        <i x="511" s="1"/>
        <i x="512" s="1"/>
        <i x="513" s="1"/>
        <i x="514" s="1"/>
        <i x="515" s="1"/>
        <i x="516" s="1"/>
        <i x="517" s="1"/>
        <i x="518" s="1"/>
        <i x="519" s="1"/>
        <i x="520" s="1"/>
        <i x="521" s="1"/>
        <i x="522" s="1"/>
        <i x="523" s="1"/>
        <i x="524" s="1"/>
        <i x="525" s="1"/>
        <i x="526" s="1"/>
        <i x="527" s="1"/>
        <i x="528" s="1"/>
        <i x="529" s="1"/>
        <i x="530" s="1"/>
        <i x="531" s="1"/>
        <i x="532" s="1"/>
        <i x="533" s="1"/>
        <i x="534" s="1"/>
        <i x="535" s="1"/>
        <i x="536" s="1"/>
        <i x="537" s="1"/>
        <i x="538" s="1"/>
        <i x="539" s="1"/>
        <i x="540" s="1"/>
        <i x="541" s="1"/>
        <i x="542" s="1"/>
        <i x="543" s="1"/>
        <i x="544" s="1"/>
        <i x="545" s="1"/>
        <i x="546" s="1"/>
        <i x="547" s="1"/>
        <i x="548" s="1"/>
        <i x="549" s="1"/>
        <i x="550" s="1"/>
        <i x="551" s="1"/>
        <i x="552" s="1"/>
        <i x="553" s="1"/>
        <i x="554" s="1"/>
        <i x="555" s="1"/>
        <i x="556" s="1"/>
        <i x="557" s="1"/>
        <i x="558" s="1"/>
        <i x="559" s="1"/>
        <i x="560" s="1"/>
        <i x="561" s="1"/>
        <i x="562" s="1"/>
        <i x="563" s="1"/>
        <i x="564" s="1"/>
        <i x="565" s="1"/>
        <i x="566" s="1"/>
        <i x="567" s="1"/>
        <i x="568" s="1"/>
        <i x="569" s="1"/>
        <i x="570" s="1"/>
        <i x="571" s="1"/>
        <i x="572" s="1"/>
        <i x="573" s="1"/>
        <i x="574" s="1"/>
        <i x="575" s="1"/>
        <i x="576" s="1"/>
        <i x="577" s="1"/>
        <i x="578" s="1"/>
        <i x="579" s="1"/>
        <i x="580" s="1"/>
        <i x="581" s="1"/>
        <i x="582" s="1"/>
        <i x="583" s="1"/>
        <i x="584" s="1"/>
        <i x="585" s="1"/>
        <i x="586" s="1"/>
        <i x="587" s="1"/>
        <i x="588" s="1"/>
        <i x="589" s="1"/>
        <i x="590" s="1"/>
        <i x="591" s="1"/>
        <i x="592" s="1"/>
        <i x="593" s="1"/>
        <i x="594" s="1"/>
        <i x="595" s="1"/>
        <i x="596" s="1"/>
        <i x="597" s="1"/>
        <i x="598" s="1"/>
        <i x="599" s="1"/>
        <i x="600" s="1"/>
        <i x="601" s="1"/>
        <i x="602" s="1"/>
        <i x="603" s="1"/>
        <i x="604" s="1"/>
        <i x="605" s="1"/>
        <i x="606" s="1"/>
        <i x="607" s="1"/>
        <i x="608" s="1"/>
        <i x="609" s="1"/>
        <i x="610" s="1"/>
        <i x="611" s="1"/>
        <i x="612" s="1"/>
        <i x="613" s="1"/>
        <i x="614" s="1"/>
        <i x="615" s="1"/>
        <i x="616" s="1"/>
        <i x="617" s="1"/>
        <i x="618" s="1"/>
        <i x="619" s="1"/>
        <i x="620" s="1"/>
        <i x="621" s="1"/>
        <i x="622" s="1"/>
        <i x="623" s="1"/>
        <i x="624" s="1"/>
        <i x="625" s="1"/>
        <i x="626" s="1"/>
        <i x="627" s="1"/>
        <i x="628" s="1"/>
        <i x="629" s="1"/>
        <i x="630" s="1"/>
        <i x="631" s="1"/>
        <i x="632" s="1"/>
        <i x="633" s="1"/>
        <i x="634" s="1"/>
        <i x="635" s="1"/>
        <i x="636" s="1"/>
        <i x="637" s="1"/>
        <i x="638" s="1"/>
        <i x="639" s="1"/>
        <i x="640" s="1"/>
        <i x="641" s="1"/>
        <i x="642" s="1"/>
        <i x="643" s="1"/>
        <i x="644" s="1"/>
        <i x="645" s="1"/>
        <i x="646" s="1"/>
        <i x="647" s="1"/>
        <i x="648" s="1"/>
        <i x="649" s="1"/>
        <i x="650" s="1"/>
        <i x="651" s="1"/>
        <i x="652" s="1"/>
        <i x="653" s="1"/>
        <i x="654" s="1"/>
        <i x="655" s="1"/>
        <i x="656" s="1"/>
        <i x="657" s="1"/>
        <i x="658" s="1"/>
        <i x="659" s="1"/>
        <i x="660" s="1"/>
        <i x="661" s="1"/>
        <i x="662" s="1"/>
        <i x="663" s="1"/>
        <i x="664" s="1"/>
        <i x="665" s="1"/>
        <i x="666" s="1"/>
        <i x="667" s="1"/>
        <i x="668" s="1"/>
        <i x="669" s="1"/>
        <i x="670" s="1"/>
        <i x="671" s="1"/>
        <i x="672" s="1"/>
        <i x="673" s="1"/>
        <i x="674" s="1"/>
        <i x="675" s="1"/>
        <i x="676" s="1"/>
        <i x="677" s="1"/>
        <i x="678" s="1"/>
        <i x="679" s="1"/>
        <i x="680" s="1"/>
        <i x="681" s="1"/>
        <i x="682" s="1"/>
        <i x="683" s="1"/>
        <i x="684" s="1"/>
        <i x="685" s="1"/>
        <i x="686" s="1"/>
        <i x="687" s="1"/>
        <i x="688" s="1"/>
        <i x="689" s="1"/>
        <i x="690" s="1"/>
        <i x="691" s="1"/>
        <i x="692" s="1"/>
        <i x="693" s="1"/>
        <i x="694" s="1"/>
        <i x="695" s="1"/>
        <i x="696" s="1"/>
        <i x="697" s="1"/>
        <i x="698" s="1"/>
        <i x="699" s="1"/>
        <i x="700" s="1"/>
        <i x="701" s="1"/>
        <i x="702" s="1"/>
        <i x="703" s="1"/>
        <i x="704" s="1"/>
        <i x="705" s="1"/>
        <i x="706" s="1"/>
        <i x="707" s="1"/>
        <i x="708" s="1"/>
        <i x="709" s="1"/>
        <i x="710" s="1"/>
        <i x="711" s="1"/>
        <i x="712" s="1"/>
        <i x="713" s="1"/>
        <i x="714" s="1"/>
        <i x="715" s="1"/>
        <i x="716" s="1"/>
        <i x="717" s="1"/>
        <i x="718" s="1"/>
        <i x="719" s="1"/>
        <i x="720" s="1"/>
        <i x="721" s="1"/>
        <i x="722" s="1"/>
        <i x="723" s="1"/>
        <i x="724" s="1"/>
        <i x="725" s="1"/>
        <i x="726" s="1"/>
        <i x="727" s="1"/>
        <i x="728" s="1"/>
        <i x="729" s="1"/>
        <i x="730" s="1"/>
        <i x="731" s="1"/>
        <i x="732" s="1"/>
        <i x="733" s="1"/>
        <i x="734" s="1"/>
        <i x="735" s="1"/>
        <i x="736" s="1"/>
        <i x="737" s="1"/>
        <i x="738" s="1"/>
        <i x="739" s="1"/>
        <i x="740" s="1"/>
        <i x="741" s="1"/>
        <i x="742" s="1"/>
        <i x="743" s="1"/>
        <i x="744" s="1"/>
        <i x="745" s="1"/>
        <i x="746" s="1"/>
        <i x="747" s="1"/>
        <i x="748" s="1"/>
        <i x="749" s="1"/>
        <i x="750" s="1"/>
        <i x="751" s="1"/>
        <i x="752" s="1"/>
        <i x="753" s="1"/>
        <i x="754" s="1"/>
        <i x="755" s="1"/>
        <i x="756" s="1"/>
        <i x="757" s="1"/>
        <i x="758" s="1"/>
        <i x="759" s="1"/>
        <i x="760" s="1"/>
        <i x="761" s="1"/>
        <i x="762" s="1"/>
        <i x="763" s="1"/>
        <i x="764" s="1"/>
        <i x="765" s="1"/>
        <i x="766" s="1"/>
        <i x="767" s="1"/>
        <i x="768" s="1"/>
        <i x="769" s="1"/>
        <i x="770" s="1"/>
        <i x="771" s="1"/>
        <i x="772" s="1"/>
        <i x="773" s="1"/>
        <i x="774" s="1"/>
        <i x="775" s="1"/>
        <i x="776" s="1"/>
        <i x="777" s="1"/>
        <i x="778" s="1"/>
        <i x="779" s="1"/>
        <i x="780" s="1"/>
        <i x="781" s="1"/>
        <i x="782" s="1"/>
        <i x="783" s="1"/>
        <i x="784" s="1"/>
        <i x="785" s="1"/>
        <i x="786" s="1"/>
        <i x="787" s="1"/>
        <i x="788" s="1"/>
        <i x="789" s="1"/>
        <i x="790" s="1"/>
        <i x="791" s="1"/>
        <i x="792" s="1"/>
        <i x="793" s="1"/>
        <i x="794" s="1"/>
        <i x="795" s="1"/>
        <i x="796" s="1"/>
        <i x="797" s="1"/>
        <i x="798" s="1"/>
        <i x="799" s="1"/>
        <i x="800" s="1"/>
        <i x="801" s="1"/>
        <i x="802" s="1"/>
        <i x="803" s="1"/>
        <i x="804" s="1"/>
        <i x="805" s="1"/>
        <i x="806" s="1"/>
        <i x="807" s="1"/>
        <i x="808" s="1"/>
        <i x="809" s="1"/>
        <i x="810" s="1"/>
        <i x="811" s="1"/>
        <i x="812" s="1"/>
        <i x="813" s="1"/>
        <i x="814" s="1"/>
        <i x="815" s="1"/>
        <i x="816" s="1"/>
        <i x="817" s="1"/>
        <i x="818" s="1"/>
        <i x="819" s="1"/>
        <i x="820" s="1"/>
        <i x="821" s="1"/>
        <i x="822" s="1"/>
        <i x="823" s="1"/>
        <i x="824" s="1"/>
        <i x="825" s="1"/>
        <i x="826" s="1"/>
        <i x="827" s="1"/>
        <i x="828" s="1"/>
        <i x="829" s="1"/>
        <i x="830" s="1"/>
        <i x="831" s="1"/>
        <i x="832" s="1"/>
        <i x="833" s="1"/>
        <i x="834" s="1"/>
        <i x="835" s="1"/>
        <i x="836" s="1"/>
        <i x="837" s="1"/>
        <i x="838" s="1"/>
        <i x="839" s="1"/>
        <i x="840" s="1"/>
        <i x="841" s="1"/>
        <i x="842" s="1"/>
        <i x="843" s="1"/>
        <i x="844" s="1"/>
        <i x="845" s="1"/>
        <i x="846" s="1"/>
        <i x="847" s="1"/>
        <i x="848" s="1"/>
        <i x="849" s="1"/>
        <i x="850" s="1"/>
        <i x="851" s="1"/>
        <i x="852" s="1"/>
        <i x="853" s="1"/>
        <i x="854" s="1"/>
        <i x="855" s="1"/>
        <i x="856" s="1"/>
        <i x="857" s="1"/>
        <i x="858" s="1"/>
        <i x="859" s="1"/>
        <i x="860" s="1"/>
        <i x="861" s="1"/>
        <i x="862" s="1"/>
        <i x="863" s="1"/>
        <i x="864" s="1"/>
        <i x="865" s="1"/>
        <i x="866" s="1"/>
        <i x="867" s="1"/>
        <i x="868" s="1"/>
        <i x="869" s="1"/>
        <i x="870" s="1"/>
        <i x="871" s="1"/>
        <i x="872" s="1"/>
        <i x="873" s="1"/>
        <i x="874" s="1"/>
        <i x="875" s="1"/>
        <i x="876" s="1"/>
        <i x="877" s="1"/>
        <i x="878" s="1"/>
        <i x="879" s="1"/>
        <i x="880" s="1"/>
        <i x="881" s="1"/>
        <i x="882" s="1"/>
        <i x="883" s="1"/>
        <i x="884" s="1"/>
        <i x="885" s="1"/>
        <i x="886" s="1"/>
        <i x="887" s="1"/>
        <i x="888" s="1"/>
        <i x="889" s="1"/>
        <i x="890" s="1"/>
        <i x="891" s="1"/>
        <i x="892" s="1"/>
        <i x="893" s="1"/>
        <i x="894" s="1"/>
        <i x="895" s="1"/>
        <i x="896" s="1"/>
        <i x="897" s="1"/>
        <i x="898" s="1"/>
        <i x="899" s="1"/>
        <i x="900" s="1"/>
        <i x="901" s="1"/>
        <i x="902" s="1"/>
        <i x="903" s="1"/>
        <i x="904" s="1"/>
        <i x="905" s="1"/>
        <i x="906" s="1"/>
        <i x="907" s="1"/>
        <i x="908" s="1"/>
        <i x="909" s="1"/>
        <i x="910" s="1"/>
        <i x="911" s="1"/>
        <i x="912" s="1"/>
        <i x="913" s="1"/>
        <i x="914" s="1"/>
        <i x="915" s="1"/>
        <i x="916" s="1"/>
        <i x="917" s="1"/>
        <i x="918" s="1"/>
        <i x="919" s="1"/>
        <i x="920" s="1"/>
        <i x="921" s="1"/>
        <i x="922" s="1"/>
        <i x="923" s="1"/>
        <i x="924" s="1"/>
        <i x="925" s="1"/>
        <i x="926" s="1"/>
        <i x="927" s="1"/>
        <i x="928" s="1"/>
        <i x="929" s="1"/>
        <i x="930" s="1"/>
        <i x="931" s="1"/>
        <i x="932" s="1"/>
        <i x="933" s="1"/>
        <i x="934" s="1"/>
        <i x="935" s="1"/>
        <i x="936" s="1"/>
        <i x="937" s="1"/>
        <i x="938" s="1"/>
        <i x="939" s="1"/>
        <i x="940" s="1"/>
        <i x="941" s="1"/>
        <i x="942" s="1"/>
        <i x="943" s="1"/>
        <i x="944" s="1"/>
        <i x="945" s="1"/>
        <i x="946" s="1"/>
        <i x="947" s="1"/>
        <i x="948" s="1"/>
        <i x="949" s="1"/>
        <i x="950" s="1"/>
        <i x="951" s="1"/>
        <i x="952" s="1"/>
        <i x="953" s="1"/>
        <i x="954" s="1"/>
        <i x="955" s="1"/>
        <i x="956" s="1"/>
        <i x="957" s="1"/>
        <i x="958" s="1"/>
        <i x="959" s="1"/>
        <i x="960" s="1"/>
        <i x="961" s="1"/>
        <i x="962" s="1"/>
        <i x="963" s="1"/>
        <i x="964" s="1"/>
        <i x="965" s="1"/>
        <i x="966" s="1"/>
        <i x="967" s="1"/>
        <i x="968" s="1"/>
        <i x="969" s="1"/>
        <i x="970" s="1"/>
        <i x="971" s="1"/>
        <i x="972" s="1"/>
        <i x="973" s="1"/>
        <i x="974" s="1"/>
        <i x="975" s="1"/>
        <i x="976" s="1"/>
        <i x="977" s="1"/>
        <i x="978" s="1"/>
        <i x="979" s="1"/>
        <i x="980" s="1"/>
        <i x="981" s="1"/>
        <i x="982" s="1"/>
        <i x="983" s="1"/>
        <i x="984" s="1"/>
        <i x="985" s="1"/>
        <i x="986" s="1"/>
        <i x="987" s="1"/>
        <i x="988" s="1"/>
        <i x="989" s="1"/>
        <i x="990" s="1"/>
        <i x="991" s="1"/>
        <i x="992" s="1"/>
        <i x="993" s="1"/>
        <i x="994" s="1"/>
        <i x="995" s="1"/>
        <i x="996" s="1"/>
        <i x="997" s="1"/>
        <i x="998" s="1"/>
        <i x="999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ethod" sourceName="Payment_Method">
  <pivotTables>
    <pivotTable tabId="4" name="PivotTable5"/>
    <pivotTable tabId="4" name="PivotTable3"/>
    <pivotTable tabId="4" name="PivotTable4"/>
    <pivotTable tabId="4" name="PivotTable6"/>
    <pivotTable tabId="4" name="PivotTable7"/>
  </pivotTables>
  <data>
    <tabular pivotCacheId="1">
      <items count="4">
        <i x="0" s="1"/>
        <i x="3" s="1"/>
        <i x="1" s="1"/>
        <i x="2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Name" sourceName="Product_Name">
  <pivotTables>
    <pivotTable tabId="4" name="PivotTable7"/>
    <pivotTable tabId="4" name="PivotTable3"/>
    <pivotTable tabId="4" name="PivotTable4"/>
    <pivotTable tabId="4" name="PivotTable5"/>
    <pivotTable tabId="4" name="PivotTable6"/>
  </pivotTables>
  <data>
    <tabular pivotCacheId="1">
      <items count="15">
        <i x="11" s="1"/>
        <i x="10" s="1"/>
        <i x="9" s="1"/>
        <i x="1" s="1"/>
        <i x="4" s="1"/>
        <i x="7" s="1"/>
        <i x="0" s="1"/>
        <i x="6" s="1"/>
        <i x="5" s="1"/>
        <i x="3" s="1"/>
        <i x="8" s="1"/>
        <i x="13" s="1"/>
        <i x="2" s="1"/>
        <i x="12" s="1"/>
        <i x="14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Quantity_Sold" sourceName="Quantity_Sold">
  <pivotTables>
    <pivotTable tabId="4" name="PivotTable7"/>
    <pivotTable tabId="4" name="PivotTable3"/>
    <pivotTable tabId="4" name="PivotTable4"/>
    <pivotTable tabId="4" name="PivotTable5"/>
    <pivotTable tabId="4" name="PivotTable6"/>
  </pivotTables>
  <data>
    <tabular pivotCacheId="1">
      <items count="5">
        <i x="2" s="1"/>
        <i x="3" s="1"/>
        <i x="1" s="1"/>
        <i x="4" s="1"/>
        <i x="0" s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Category" sourceName="Product_Category">
  <pivotTables>
    <pivotTable tabId="4" name="PivotTable4"/>
    <pivotTable tabId="4" name="PivotTable3"/>
    <pivotTable tabId="4" name="PivotTable5"/>
    <pivotTable tabId="4" name="PivotTable6"/>
    <pivotTable tabId="4" name="PivotTable7"/>
  </pivotTables>
  <data>
    <tabular pivotCacheId="1">
      <items count="4">
        <i x="1" s="1"/>
        <i x="2" s="1"/>
        <i x="0" s="1"/>
        <i x="3" s="1"/>
      </items>
    </tabular>
  </data>
  <extLst/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fit" sourceName="Profit">
  <pivotTables>
    <pivotTable tabId="4" name="PivotTable4"/>
    <pivotTable tabId="4" name="PivotTable3"/>
    <pivotTable tabId="4" name="PivotTable5"/>
    <pivotTable tabId="4" name="PivotTable6"/>
    <pivotTable tabId="4" name="PivotTable7"/>
  </pivotTables>
  <data>
    <tabular pivotCacheId="1">
      <items count="720">
        <i x="36" s="1"/>
        <i x="689" s="1"/>
        <i x="616" s="1"/>
        <i x="345" s="1"/>
        <i x="435" s="1"/>
        <i x="454" s="1"/>
        <i x="520" s="1"/>
        <i x="490" s="1"/>
        <i x="693" s="1"/>
        <i x="6" s="1"/>
        <i x="182" s="1"/>
        <i x="72" s="1"/>
        <i x="292" s="1"/>
        <i x="79" s="1"/>
        <i x="597" s="1"/>
        <i x="220" s="1"/>
        <i x="119" s="1"/>
        <i x="545" s="1"/>
        <i x="530" s="1"/>
        <i x="691" s="1"/>
        <i x="270" s="1"/>
        <i x="337" s="1"/>
        <i x="151" s="1"/>
        <i x="668" s="1"/>
        <i x="162" s="1"/>
        <i x="272" s="1"/>
        <i x="525" s="1"/>
        <i x="176" s="1"/>
        <i x="684" s="1"/>
        <i x="535" s="1"/>
        <i x="600" s="1"/>
        <i x="547" s="1"/>
        <i x="504" s="1"/>
        <i x="390" s="1"/>
        <i x="258" s="1"/>
        <i x="661" s="1"/>
        <i x="105" s="1"/>
        <i x="708" s="1"/>
        <i x="621" s="1"/>
        <i x="52" s="1"/>
        <i x="174" s="1"/>
        <i x="357" s="1"/>
        <i x="116" s="1"/>
        <i x="327" s="1"/>
        <i x="681" s="1"/>
        <i x="218" s="1"/>
        <i x="369" s="1"/>
        <i x="129" s="1"/>
        <i x="91" s="1"/>
        <i x="167" s="1"/>
        <i x="578" s="1"/>
        <i x="65" s="1"/>
        <i x="465" s="1"/>
        <i x="5" s="1"/>
        <i x="46" s="1"/>
        <i x="28" s="1"/>
        <i x="540" s="1"/>
        <i x="274" s="1"/>
        <i x="215" s="1"/>
        <i x="234" s="1"/>
        <i x="476" s="1"/>
        <i x="142" s="1"/>
        <i x="602" s="1"/>
        <i x="358" s="1"/>
        <i x="263" s="1"/>
        <i x="264" s="1"/>
        <i x="235" s="1"/>
        <i x="163" s="1"/>
        <i x="314" s="1"/>
        <i x="449" s="1"/>
        <i x="612" s="1"/>
        <i x="655" s="1"/>
        <i x="319" s="1"/>
        <i x="367" s="1"/>
        <i x="338" s="1"/>
        <i x="697" s="1"/>
        <i x="295" s="1"/>
        <i x="43" s="1"/>
        <i x="183" s="1"/>
        <i x="21" s="1"/>
        <i x="365" s="1"/>
        <i x="629" s="1"/>
        <i x="652" s="1"/>
        <i x="713" s="1"/>
        <i x="377" s="1"/>
        <i x="12" s="1"/>
        <i x="618" s="1"/>
        <i x="189" s="1"/>
        <i x="702" s="1"/>
        <i x="175" s="1"/>
        <i x="219" s="1"/>
        <i x="633" s="1"/>
        <i x="649" s="1"/>
        <i x="9" s="1"/>
        <i x="355" s="1"/>
        <i x="202" s="1"/>
        <i x="376" s="1"/>
        <i x="55" s="1"/>
        <i x="180" s="1"/>
        <i x="291" s="1"/>
        <i x="31" s="1"/>
        <i x="51" s="1"/>
        <i x="156" s="1"/>
        <i x="181" s="1"/>
        <i x="521" s="1"/>
        <i x="613" s="1"/>
        <i x="706" s="1"/>
        <i x="481" s="1"/>
        <i x="469" s="1"/>
        <i x="197" s="1"/>
        <i x="346" s="1"/>
        <i x="679" s="1"/>
        <i x="144" s="1"/>
        <i x="671" s="1"/>
        <i x="23" s="1"/>
        <i x="351" s="1"/>
        <i x="457" s="1"/>
        <i x="632" s="1"/>
        <i x="506" s="1"/>
        <i x="107" s="1"/>
        <i x="57" s="1"/>
        <i x="436" s="1"/>
        <i x="260" s="1"/>
        <i x="514" s="1"/>
        <i x="446" s="1"/>
        <i x="29" s="1"/>
        <i x="642" s="1"/>
        <i x="586" s="1"/>
        <i x="601" s="1"/>
        <i x="287" s="1"/>
        <i x="247" s="1"/>
        <i x="348" s="1"/>
        <i x="184" s="1"/>
        <i x="499" s="1"/>
        <i x="66" s="1"/>
        <i x="171" s="1"/>
        <i x="239" s="1"/>
        <i x="445" s="1"/>
        <i x="650" s="1"/>
        <i x="519" s="1"/>
        <i x="246" s="1"/>
        <i x="396" s="1"/>
        <i x="664" s="1"/>
        <i x="486" s="1"/>
        <i x="254" s="1"/>
        <i x="170" s="1"/>
        <i x="362" s="1"/>
        <i x="379" s="1"/>
        <i x="48" s="1"/>
        <i x="429" s="1"/>
        <i x="242" s="1"/>
        <i x="139" s="1"/>
        <i x="471" s="1"/>
        <i x="719" s="1"/>
        <i x="614" s="1"/>
        <i x="74" s="1"/>
        <i x="498" s="1"/>
        <i x="591" s="1"/>
        <i x="394" s="1"/>
        <i x="639" s="1"/>
        <i x="236" s="1"/>
        <i x="39" s="1"/>
        <i x="117" s="1"/>
        <i x="253" s="1"/>
        <i x="304" s="1"/>
        <i x="605" s="1"/>
        <i x="609" s="1"/>
        <i x="628" s="1"/>
        <i x="434" s="1"/>
        <i x="625" s="1"/>
        <i x="178" s="1"/>
        <i x="323" s="1"/>
        <i x="676" s="1"/>
        <i x="152" s="1"/>
        <i x="209" s="1"/>
        <i x="80" s="1"/>
        <i x="17" s="1"/>
        <i x="155" s="1"/>
        <i x="593" s="1"/>
        <i x="478" s="1"/>
        <i x="92" s="1"/>
        <i x="81" s="1"/>
        <i x="641" s="1"/>
        <i x="248" s="1"/>
        <i x="90" s="1"/>
        <i x="507" s="1"/>
        <i x="130" s="1"/>
        <i x="343" s="1"/>
        <i x="273" s="1"/>
        <i x="687" s="1"/>
        <i x="417" s="1"/>
        <i x="27" s="1"/>
        <i x="306" s="1"/>
        <i x="146" s="1"/>
        <i x="539" s="1"/>
        <i x="487" s="1"/>
        <i x="124" s="1"/>
        <i x="333" s="1"/>
        <i x="363" s="1"/>
        <i x="450" s="1"/>
        <i x="277" s="1"/>
        <i x="278" s="1"/>
        <i x="443" s="1"/>
        <i x="271" s="1"/>
        <i x="373" s="1"/>
        <i x="532" s="1"/>
        <i x="651" s="1"/>
        <i x="82" s="1"/>
        <i x="484" s="1"/>
        <i x="356" s="1"/>
        <i x="63" s="1"/>
        <i x="485" s="1"/>
        <i x="468" s="1"/>
        <i x="290" s="1"/>
        <i x="298" s="1"/>
        <i x="11" s="1"/>
        <i x="230" s="1"/>
        <i x="261" s="1"/>
        <i x="494" s="1"/>
        <i x="482" s="1"/>
        <i x="375" s="1"/>
        <i x="320" s="1"/>
        <i x="127" s="1"/>
        <i x="718" s="1"/>
        <i x="426" s="1"/>
        <i x="646" s="1"/>
        <i x="405" s="1"/>
        <i x="0" s="1"/>
        <i x="192" s="1"/>
        <i x="288" s="1"/>
        <i x="115" s="1"/>
        <i x="147" s="1"/>
        <i x="690" s="1"/>
        <i x="77" s="1"/>
        <i x="553" s="1"/>
        <i x="168" s="1"/>
        <i x="150" s="1"/>
        <i x="322" s="1"/>
        <i x="636" s="1"/>
        <i x="317" s="1"/>
        <i x="56" s="1"/>
        <i x="240" s="1"/>
        <i x="237" s="1"/>
        <i x="86" s="1"/>
        <i x="400" s="1"/>
        <i x="313" s="1"/>
        <i x="401" s="1"/>
        <i x="69" s="1"/>
        <i x="158" s="1"/>
        <i x="188" s="1"/>
        <i x="698" s="1"/>
        <i x="213" s="1"/>
        <i x="384" s="1"/>
        <i x="157" s="1"/>
        <i x="200" s="1"/>
        <i x="562" s="1"/>
        <i x="453" s="1"/>
        <i x="424" s="1"/>
        <i x="251" s="1"/>
        <i x="644" s="1"/>
        <i x="489" s="1"/>
        <i x="89" s="1"/>
        <i x="227" s="1"/>
        <i x="228" s="1"/>
        <i x="596" s="1"/>
        <i x="575" s="1"/>
        <i x="473" s="1"/>
        <i x="680" s="1"/>
        <i x="30" s="1"/>
        <i x="410" s="1"/>
        <i x="191" s="1"/>
        <i x="8" s="1"/>
        <i x="517" s="1"/>
        <i x="383" s="1"/>
        <i x="125" s="1"/>
        <i x="94" s="1"/>
        <i x="643" s="1"/>
        <i x="441" s="1"/>
        <i x="389" s="1"/>
        <i x="371" s="1"/>
        <i x="427" s="1"/>
        <i x="205" s="1"/>
        <i x="710" s="1"/>
        <i x="331" s="1"/>
        <i x="716" s="1"/>
        <i x="18" s="1"/>
        <i x="78" s="1"/>
        <i x="607" s="1"/>
        <i x="325" s="1"/>
        <i x="557" s="1"/>
        <i x="603" s="1"/>
        <i x="364" s="1"/>
        <i x="515" s="1"/>
        <i x="109" s="1"/>
        <i x="14" s="1"/>
        <i x="380" s="1"/>
        <i x="574" s="1"/>
        <i x="169" s="1"/>
        <i x="45" s="1"/>
        <i x="513" s="1"/>
        <i x="137" s="1"/>
        <i x="439" s="1"/>
        <i x="437" s="1"/>
        <i x="340" s="1"/>
        <i x="97" s="1"/>
        <i x="233" s="1"/>
        <i x="87" s="1"/>
        <i x="585" s="1"/>
        <i x="329" s="1"/>
        <i x="203" s="1"/>
        <i x="344" s="1"/>
        <i x="265" s="1"/>
        <i x="360" s="1"/>
        <i x="448" s="1"/>
        <i x="301" s="1"/>
        <i x="701" s="1"/>
        <i x="60" s="1"/>
        <i x="496" s="1"/>
        <i x="407" s="1"/>
        <i x="208" s="1"/>
        <i x="526" s="1"/>
        <i x="133" s="1"/>
        <i x="677" s="1"/>
        <i x="438" s="1"/>
        <i x="231" s="1"/>
        <i x="500" s="1"/>
        <i x="305" s="1"/>
        <i x="201" s="1"/>
        <i x="640" s="1"/>
        <i x="135" s="1"/>
        <i x="141" s="1"/>
        <i x="388" s="1"/>
        <i x="102" s="1"/>
        <i x="316" s="1"/>
        <i x="2" s="1"/>
        <i x="627" s="1"/>
        <i x="172" s="1"/>
        <i x="32" s="1"/>
        <i x="38" s="1"/>
        <i x="411" s="1"/>
        <i x="352" s="1"/>
        <i x="483" s="1"/>
        <i x="149" s="1"/>
        <i x="619" s="1"/>
        <i x="40" s="1"/>
        <i x="455" s="1"/>
        <i x="269" s="1"/>
        <i x="160" s="1"/>
        <i x="415" s="1"/>
        <i x="534" s="1"/>
        <i x="195" s="1"/>
        <i x="391" s="1"/>
        <i x="561" s="1"/>
        <i x="138" s="1"/>
        <i x="538" s="1"/>
        <i x="136" s="1"/>
        <i x="717" s="1"/>
        <i x="466" s="1"/>
        <i x="408" s="1"/>
        <i x="542" s="1"/>
        <i x="463" s="1"/>
        <i x="444" s="1"/>
        <i x="653" s="1"/>
        <i x="241" s="1"/>
        <i x="673" s="1"/>
        <i x="688" s="1"/>
        <i x="93" s="1"/>
        <i x="568" s="1"/>
        <i x="164" s="1"/>
        <i x="418" s="1"/>
        <i x="503" s="1"/>
        <i x="563" s="1"/>
        <i x="85" s="1"/>
        <i x="393" s="1"/>
        <i x="22" s="1"/>
        <i x="555" s="1"/>
        <i x="350" s="1"/>
        <i x="510" s="1"/>
        <i x="166" s="1"/>
        <i x="13" s="1"/>
        <i x="399" s="1"/>
        <i x="577" s="1"/>
        <i x="211" s="1"/>
        <i x="280" s="1"/>
        <i x="259" s="1"/>
        <i x="685" s="1"/>
        <i x="556" s="1"/>
        <i x="243" s="1"/>
        <i x="570" s="1"/>
        <i x="15" s="1"/>
        <i x="402" s="1"/>
        <i x="16" s="1"/>
        <i x="660" s="1"/>
        <i x="634" s="1"/>
        <i x="395" s="1"/>
        <i x="502" s="1"/>
        <i x="611" s="1"/>
        <i x="682" s="1"/>
        <i x="461" s="1"/>
        <i x="44" s="1"/>
        <i x="299" s="1"/>
        <i x="477" s="1"/>
        <i x="177" s="1"/>
        <i x="62" s="1"/>
        <i x="330" s="1"/>
        <i x="128" s="1"/>
        <i x="206" s="1"/>
        <i x="95" s="1"/>
        <i x="54" s="1"/>
        <i x="440" s="1"/>
        <i x="110" s="1"/>
        <i x="341" s="1"/>
        <i x="98" s="1"/>
        <i x="599" s="1"/>
        <i x="595" s="1"/>
        <i x="24" s="1"/>
        <i x="480" s="1"/>
        <i x="537" s="1"/>
        <i x="368" s="1"/>
        <i x="334" s="1"/>
        <i x="225" s="1"/>
        <i x="223" s="1"/>
        <i x="284" s="1"/>
        <i x="420" s="1"/>
        <i x="187" s="1"/>
        <i x="707" s="1"/>
        <i x="53" s="1"/>
        <i x="297" s="1"/>
        <i x="576" s="1"/>
        <i x="700" s="1"/>
        <i x="61" s="1"/>
        <i x="456" s="1"/>
        <i x="615" s="1"/>
        <i x="112" s="1"/>
        <i x="413" s="1"/>
        <i x="285" s="1"/>
        <i x="442" s="1"/>
        <i x="672" s="1"/>
        <i x="353" s="1"/>
        <i x="366" s="1"/>
        <i x="670" s="1"/>
        <i x="286" s="1"/>
        <i x="549" s="1"/>
        <i x="73" s="1"/>
        <i x="432" s="1"/>
        <i x="462" s="1"/>
        <i x="71" s="1"/>
        <i x="217" s="1"/>
        <i x="662" s="1"/>
        <i x="458" s="1"/>
        <i x="179" s="1"/>
        <i x="703" s="1"/>
        <i x="25" s="1"/>
        <i x="221" s="1"/>
        <i x="289" s="1"/>
        <i x="422" s="1"/>
        <i x="544" s="1"/>
        <i x="50" s="1"/>
        <i x="491" s="1"/>
        <i x="527" s="1"/>
        <i x="648" s="1"/>
        <i x="309" s="1"/>
        <i x="581" s="1"/>
        <i x="252" s="1"/>
        <i x="560" s="1"/>
        <i x="302" s="1"/>
        <i x="232" s="1"/>
        <i x="529" s="1"/>
        <i x="308" s="1"/>
        <i x="423" s="1"/>
        <i x="321" s="1"/>
        <i x="412" s="1"/>
        <i x="190" s="1"/>
        <i x="669" s="1"/>
        <i x="249" s="1"/>
        <i x="196" s="1"/>
        <i x="430" s="1"/>
        <i x="104" s="1"/>
        <i x="665" s="1"/>
        <i x="533" s="1"/>
        <i x="198" s="1"/>
        <i x="638" s="1"/>
        <i x="518" s="1"/>
        <i x="541" s="1"/>
        <i x="582" s="1"/>
        <i x="229" s="1"/>
        <i x="361" s="1"/>
        <i x="416" s="1"/>
        <i x="3" s="1"/>
        <i x="20" s="1"/>
        <i x="64" s="1"/>
        <i x="617" s="1"/>
        <i x="659" s="1"/>
        <i x="623" s="1"/>
        <i x="589" s="1"/>
        <i x="475" s="1"/>
        <i x="19" s="1"/>
        <i x="645" s="1"/>
        <i x="335" s="1"/>
        <i x="311" s="1"/>
        <i x="683" s="1"/>
        <i x="68" s="1"/>
        <i x="224" s="1"/>
        <i x="579" s="1"/>
        <i x="194" s="1"/>
        <i x="281" s="1"/>
        <i x="524" s="1"/>
        <i x="550" s="1"/>
        <i x="610" s="1"/>
        <i x="548" s="1"/>
        <i x="604" s="1"/>
        <i x="381" s="1"/>
        <i x="244" s="1"/>
        <i x="296" s="1"/>
        <i x="511" s="1"/>
        <i x="34" s="1"/>
        <i x="315" s="1"/>
        <i x="508" s="1"/>
        <i x="318" s="1"/>
        <i x="122" s="1"/>
        <i x="467" s="1"/>
        <i x="622" s="1"/>
        <i x="531" s="1"/>
        <i x="84" s="1"/>
        <i x="497" s="1"/>
        <i x="42" s="1"/>
        <i x="705" s="1"/>
        <i x="336" s="1"/>
        <i x="132" s="1"/>
        <i x="1" s="1"/>
        <i x="199" s="1"/>
        <i x="210" s="1"/>
        <i x="255" s="1"/>
        <i x="266" s="1"/>
        <i x="516" s="1"/>
        <i x="114" s="1"/>
        <i x="372" s="1"/>
        <i x="332" s="1"/>
        <i x="403" s="1"/>
        <i x="222" s="1"/>
        <i x="100" s="1"/>
        <i x="647" s="1"/>
        <i x="419" s="1"/>
        <i x="699" s="1"/>
        <i x="374" s="1"/>
        <i x="630" s="1"/>
        <i x="88" s="1"/>
        <i x="588" s="1"/>
        <i x="153" s="1"/>
        <i x="303" s="1"/>
        <i x="536" s="1"/>
        <i x="41" s="1"/>
        <i x="113" s="1"/>
        <i x="143" s="1"/>
        <i x="161" s="1"/>
        <i x="598" s="1"/>
        <i x="238" s="1"/>
        <i x="134" s="1"/>
        <i x="307" s="1"/>
        <i x="590" s="1"/>
        <i x="704" s="1"/>
        <i x="674" s="1"/>
        <i x="49" s="1"/>
        <i x="464" s="1"/>
        <i x="663" s="1"/>
        <i x="328" s="1"/>
        <i x="501" s="1"/>
        <i x="558" s="1"/>
        <i x="293" s="1"/>
        <i x="552" s="1"/>
        <i x="512" s="1"/>
        <i x="262" s="1"/>
        <i x="59" s="1"/>
        <i x="347" s="1"/>
        <i x="657" s="1"/>
        <i x="624" s="1"/>
        <i x="173" s="1"/>
        <i x="554" s="1"/>
        <i x="715" s="1"/>
        <i x="359" s="1"/>
        <i x="675" s="1"/>
        <i x="140" s="1"/>
        <i x="543" s="1"/>
        <i x="551" s="1"/>
        <i x="474" s="1"/>
        <i x="257" s="1"/>
        <i x="584" s="1"/>
        <i x="267" s="1"/>
        <i x="637" s="1"/>
        <i x="709" s="1"/>
        <i x="214" s="1"/>
        <i x="101" s="1"/>
        <i x="587" s="1"/>
        <i x="382" s="1"/>
        <i x="694" s="1"/>
        <i x="711" s="1"/>
        <i x="326" s="1"/>
        <i x="300" s="1"/>
        <i x="447" s="1"/>
        <i x="47" s="1"/>
        <i x="620" s="1"/>
        <i x="245" s="1"/>
        <i x="250" s="1"/>
        <i x="580" s="1"/>
        <i x="378" s="1"/>
        <i x="324" s="1"/>
        <i x="546" s="1"/>
        <i x="567" s="1"/>
        <i x="479" s="1"/>
        <i x="204" s="1"/>
        <i x="470" s="1"/>
        <i x="256" s="1"/>
        <i x="186" s="1"/>
        <i x="678" s="1"/>
        <i x="120" s="1"/>
        <i x="667" s="1"/>
        <i x="404" s="1"/>
        <i x="126" s="1"/>
        <i x="421" s="1"/>
        <i x="275" s="1"/>
        <i x="572" s="1"/>
        <i x="398" s="1"/>
        <i x="312" s="1"/>
        <i x="566" s="1"/>
        <i x="571" s="1"/>
        <i x="35" s="1"/>
        <i x="594" s="1"/>
        <i x="392" s="1"/>
        <i x="165" s="1"/>
        <i x="67" s="1"/>
        <i x="58" s="1"/>
        <i x="425" s="1"/>
        <i x="148" s="1"/>
        <i x="459" s="1"/>
        <i x="505" s="1"/>
        <i x="339" s="1"/>
        <i x="656" s="1"/>
        <i x="4" s="1"/>
        <i x="451" s="1"/>
        <i x="559" s="1"/>
        <i x="626" s="1"/>
        <i x="452" s="1"/>
        <i x="310" s="1"/>
        <i x="573" s="1"/>
        <i x="654" s="1"/>
        <i x="386" s="1"/>
        <i x="282" s="1"/>
        <i x="714" s="1"/>
        <i x="592" s="1"/>
        <i x="509" s="1"/>
        <i x="387" s="1"/>
        <i x="472" s="1"/>
        <i x="83" s="1"/>
        <i x="118" s="1"/>
        <i x="96" s="1"/>
        <i x="283" s="1"/>
        <i x="569" s="1"/>
        <i x="75" s="1"/>
        <i x="276" s="1"/>
        <i x="692" s="1"/>
        <i x="212" s="1"/>
        <i x="268" s="1"/>
        <i x="70" s="1"/>
        <i x="154" s="1"/>
        <i x="111" s="1"/>
        <i x="226" s="1"/>
        <i x="583" s="1"/>
        <i x="409" s="1"/>
        <i x="428" s="1"/>
        <i x="608" s="1"/>
        <i x="385" s="1"/>
        <i x="397" s="1"/>
        <i x="294" s="1"/>
        <i x="106" s="1"/>
        <i x="696" s="1"/>
        <i x="99" s="1"/>
        <i x="695" s="1"/>
        <i x="131" s="1"/>
        <i x="523" s="1"/>
        <i x="564" s="1"/>
        <i x="606" s="1"/>
        <i x="406" s="1"/>
        <i x="342" s="1"/>
        <i x="159" s="1"/>
        <i x="712" s="1"/>
        <i x="488" s="1"/>
        <i x="349" s="1"/>
        <i x="433" s="1"/>
        <i x="279" s="1"/>
        <i x="493" s="1"/>
        <i x="33" s="1"/>
        <i x="10" s="1"/>
        <i x="145" s="1"/>
        <i x="103" s="1"/>
        <i x="686" s="1"/>
        <i x="631" s="1"/>
        <i x="658" s="1"/>
        <i x="7" s="1"/>
        <i x="522" s="1"/>
        <i x="370" s="1"/>
        <i x="185" s="1"/>
        <i x="108" s="1"/>
        <i x="37" s="1"/>
        <i x="635" s="1"/>
        <i x="193" s="1"/>
        <i x="460" s="1"/>
        <i x="414" s="1"/>
        <i x="216" s="1"/>
        <i x="492" s="1"/>
        <i x="76" s="1"/>
        <i x="354" s="1"/>
        <i x="495" s="1"/>
        <i x="26" s="1"/>
        <i x="528" s="1"/>
        <i x="207" s="1"/>
        <i x="121" s="1"/>
        <i x="565" s="1"/>
        <i x="431" s="1"/>
        <i x="666" s="1"/>
        <i x="12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tore_Location" cache="Slicer_Store_Location" caption="Store_Location" rowHeight="241300"/>
  <slicer name="Sales_Amount" cache="Slicer_Sales_Amount" caption="Sales_Amount" startItem="19" rowHeight="241300"/>
  <slicer name="Transaction_ID" cache="Slicer_Transaction_ID" caption="Transaction_ID" rowHeight="241300"/>
  <slicer name="Payment_Method" cache="Slicer_Payment_Method" caption="Payment_Method" rowHeight="241300"/>
  <slicer name="Product_Name" cache="Slicer_Product_Name" caption="Product_Name" rowHeight="241300"/>
  <slicer name="Quantity_Sold" cache="Slicer_Quantity_Sold" caption="Quantity_Sold" rowHeight="241300"/>
  <slicer name="Product_Category" cache="Slicer_Product_Category" caption="Product_Category" rowHeight="241300"/>
  <slicer name="Profit" cache="Slicer_Profit" caption="Profit" startItem="1" rowHeight="241300"/>
</slicers>
</file>

<file path=xl/tables/table1.xml><?xml version="1.0" encoding="utf-8"?>
<table xmlns="http://schemas.openxmlformats.org/spreadsheetml/2006/main" id="1" name="Table1" displayName="Table1" ref="A1:N1001" totalsRowShown="0">
  <autoFilter xmlns:etc="http://www.wps.cn/officeDocument/2017/etCustomData" ref="A1:N1001" etc:filterBottomFollowUsedRange="0"/>
  <tableColumns count="14">
    <tableColumn id="1" name="Transaction_ID"/>
    <tableColumn id="2" name="Date"/>
    <tableColumn id="3" name="Time"/>
    <tableColumn id="4" name="Store_Location"/>
    <tableColumn id="5" name="Product_Category"/>
    <tableColumn id="6" name="Product_Name"/>
    <tableColumn id="7" name="Quantity_Sold"/>
    <tableColumn id="8" name="Unit_Price"/>
    <tableColumn id="9" name="Sales_Amt"/>
    <tableColumn id="10" name="Cost"/>
    <tableColumn id="11" name="Profit"/>
    <tableColumn id="12" name="Payment_Method"/>
    <tableColumn id="13" name="Customer_Type"/>
    <tableColumn id="14" name="Employee_ID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Arial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workbookViewId="0">
      <selection activeCell="C20" sqref="C20"/>
    </sheetView>
  </sheetViews>
  <sheetFormatPr defaultColWidth="8.875" defaultRowHeight="14.25"/>
  <cols>
    <col min="1" max="1" width="16.875" customWidth="1"/>
    <col min="2" max="2" width="8.875" customWidth="1"/>
    <col min="3" max="3" width="13.5" customWidth="1"/>
    <col min="4" max="4" width="16.25" customWidth="1"/>
    <col min="5" max="5" width="18.75" customWidth="1"/>
    <col min="6" max="6" width="15.75" customWidth="1"/>
    <col min="7" max="7" width="15.125" customWidth="1"/>
    <col min="8" max="8" width="14" customWidth="1"/>
    <col min="9" max="9" width="15" customWidth="1"/>
    <col min="12" max="12" width="18" customWidth="1"/>
    <col min="13" max="13" width="16.75" customWidth="1"/>
    <col min="14" max="14" width="14.25" customWidth="1"/>
  </cols>
  <sheetData>
    <row r="1" ht="15" spans="1:14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8</v>
      </c>
      <c r="J1" s="58" t="s">
        <v>9</v>
      </c>
      <c r="K1" s="58" t="s">
        <v>10</v>
      </c>
      <c r="L1" s="58" t="s">
        <v>11</v>
      </c>
      <c r="M1" s="58" t="s">
        <v>12</v>
      </c>
      <c r="N1" s="58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5</v>
      </c>
      <c r="H2">
        <v>2.9</v>
      </c>
      <c r="I2">
        <v>14.5</v>
      </c>
      <c r="J2">
        <v>9.95</v>
      </c>
      <c r="K2">
        <v>4.55</v>
      </c>
      <c r="L2" t="s">
        <v>20</v>
      </c>
      <c r="M2" t="s">
        <v>21</v>
      </c>
      <c r="N2" t="s">
        <v>22</v>
      </c>
    </row>
    <row r="3" spans="1:14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3</v>
      </c>
      <c r="H3">
        <v>6.26</v>
      </c>
      <c r="I3">
        <v>18.78</v>
      </c>
      <c r="J3">
        <v>8.85</v>
      </c>
      <c r="K3">
        <v>9.93</v>
      </c>
      <c r="L3" t="s">
        <v>20</v>
      </c>
      <c r="M3" t="s">
        <v>29</v>
      </c>
      <c r="N3" t="s">
        <v>30</v>
      </c>
    </row>
    <row r="4" spans="1:14">
      <c r="A4" t="s">
        <v>31</v>
      </c>
      <c r="B4" t="s">
        <v>32</v>
      </c>
      <c r="C4" t="s">
        <v>33</v>
      </c>
      <c r="D4" t="s">
        <v>17</v>
      </c>
      <c r="E4" t="s">
        <v>34</v>
      </c>
      <c r="F4" t="s">
        <v>35</v>
      </c>
      <c r="G4">
        <v>3</v>
      </c>
      <c r="H4">
        <v>3.9</v>
      </c>
      <c r="I4">
        <v>11.7</v>
      </c>
      <c r="J4">
        <v>5.45</v>
      </c>
      <c r="K4">
        <v>6.25</v>
      </c>
      <c r="L4" t="s">
        <v>36</v>
      </c>
      <c r="M4" t="s">
        <v>21</v>
      </c>
      <c r="N4" t="s">
        <v>37</v>
      </c>
    </row>
    <row r="5" spans="1:14">
      <c r="A5" t="s">
        <v>38</v>
      </c>
      <c r="B5" t="s">
        <v>39</v>
      </c>
      <c r="C5" t="s">
        <v>40</v>
      </c>
      <c r="D5" t="s">
        <v>17</v>
      </c>
      <c r="E5" t="s">
        <v>18</v>
      </c>
      <c r="F5" t="s">
        <v>41</v>
      </c>
      <c r="G5">
        <v>3</v>
      </c>
      <c r="H5">
        <v>6.22</v>
      </c>
      <c r="I5">
        <v>18.66</v>
      </c>
      <c r="J5">
        <v>9.61</v>
      </c>
      <c r="K5">
        <v>9.05</v>
      </c>
      <c r="L5" t="s">
        <v>20</v>
      </c>
      <c r="M5" t="s">
        <v>21</v>
      </c>
      <c r="N5" t="s">
        <v>42</v>
      </c>
    </row>
    <row r="6" spans="1:14">
      <c r="A6" t="s">
        <v>43</v>
      </c>
      <c r="B6" t="s">
        <v>44</v>
      </c>
      <c r="C6" t="s">
        <v>45</v>
      </c>
      <c r="D6" t="s">
        <v>46</v>
      </c>
      <c r="E6" t="s">
        <v>34</v>
      </c>
      <c r="F6" t="s">
        <v>47</v>
      </c>
      <c r="G6">
        <v>5</v>
      </c>
      <c r="H6">
        <v>6.84</v>
      </c>
      <c r="I6">
        <v>34.2</v>
      </c>
      <c r="J6">
        <v>20.83</v>
      </c>
      <c r="K6">
        <v>13.37</v>
      </c>
      <c r="L6" t="s">
        <v>36</v>
      </c>
      <c r="M6" t="s">
        <v>29</v>
      </c>
      <c r="N6" t="s">
        <v>48</v>
      </c>
    </row>
    <row r="7" spans="1:14">
      <c r="A7" t="s">
        <v>49</v>
      </c>
      <c r="B7" t="s">
        <v>50</v>
      </c>
      <c r="C7" t="s">
        <v>51</v>
      </c>
      <c r="D7" t="s">
        <v>52</v>
      </c>
      <c r="E7" t="s">
        <v>34</v>
      </c>
      <c r="F7" t="s">
        <v>47</v>
      </c>
      <c r="G7">
        <v>1</v>
      </c>
      <c r="H7">
        <v>4.56</v>
      </c>
      <c r="I7">
        <v>4.56</v>
      </c>
      <c r="J7">
        <v>2.61</v>
      </c>
      <c r="K7">
        <v>1.95</v>
      </c>
      <c r="L7" t="s">
        <v>53</v>
      </c>
      <c r="M7" t="s">
        <v>54</v>
      </c>
      <c r="N7" t="s">
        <v>55</v>
      </c>
    </row>
    <row r="8" spans="1:14">
      <c r="A8" t="s">
        <v>56</v>
      </c>
      <c r="B8" t="s">
        <v>57</v>
      </c>
      <c r="C8" t="s">
        <v>58</v>
      </c>
      <c r="D8" t="s">
        <v>17</v>
      </c>
      <c r="E8" t="s">
        <v>34</v>
      </c>
      <c r="F8" t="s">
        <v>59</v>
      </c>
      <c r="G8">
        <v>1</v>
      </c>
      <c r="H8">
        <v>3.12</v>
      </c>
      <c r="I8">
        <v>3.12</v>
      </c>
      <c r="J8">
        <v>1.97</v>
      </c>
      <c r="K8">
        <v>1.15</v>
      </c>
      <c r="L8" t="s">
        <v>60</v>
      </c>
      <c r="M8" t="s">
        <v>21</v>
      </c>
      <c r="N8" t="s">
        <v>61</v>
      </c>
    </row>
    <row r="9" spans="1:14">
      <c r="A9" t="s">
        <v>62</v>
      </c>
      <c r="B9" t="s">
        <v>63</v>
      </c>
      <c r="C9" t="s">
        <v>64</v>
      </c>
      <c r="D9" t="s">
        <v>52</v>
      </c>
      <c r="E9" t="s">
        <v>18</v>
      </c>
      <c r="F9" t="s">
        <v>19</v>
      </c>
      <c r="G9">
        <v>5</v>
      </c>
      <c r="H9">
        <v>6.08</v>
      </c>
      <c r="I9">
        <v>30.4</v>
      </c>
      <c r="J9">
        <v>14.12</v>
      </c>
      <c r="K9">
        <v>16.28</v>
      </c>
      <c r="L9" t="s">
        <v>20</v>
      </c>
      <c r="M9" t="s">
        <v>21</v>
      </c>
      <c r="N9" t="s">
        <v>65</v>
      </c>
    </row>
    <row r="10" spans="1:14">
      <c r="A10" t="s">
        <v>66</v>
      </c>
      <c r="B10" t="s">
        <v>67</v>
      </c>
      <c r="C10" t="s">
        <v>68</v>
      </c>
      <c r="D10" t="s">
        <v>69</v>
      </c>
      <c r="E10" t="s">
        <v>27</v>
      </c>
      <c r="F10" t="s">
        <v>70</v>
      </c>
      <c r="G10">
        <v>3</v>
      </c>
      <c r="H10">
        <v>5.17</v>
      </c>
      <c r="I10">
        <v>15.51</v>
      </c>
      <c r="J10">
        <v>10.26</v>
      </c>
      <c r="K10">
        <v>5.25</v>
      </c>
      <c r="L10" t="s">
        <v>20</v>
      </c>
      <c r="M10" t="s">
        <v>29</v>
      </c>
      <c r="N10" t="s">
        <v>30</v>
      </c>
    </row>
    <row r="11" spans="1:14">
      <c r="A11" t="s">
        <v>71</v>
      </c>
      <c r="B11" t="s">
        <v>72</v>
      </c>
      <c r="C11" t="s">
        <v>73</v>
      </c>
      <c r="D11" t="s">
        <v>52</v>
      </c>
      <c r="E11" t="s">
        <v>74</v>
      </c>
      <c r="F11" t="s">
        <v>75</v>
      </c>
      <c r="G11">
        <v>1</v>
      </c>
      <c r="H11">
        <v>5.71</v>
      </c>
      <c r="I11">
        <v>5.71</v>
      </c>
      <c r="J11">
        <v>3.23</v>
      </c>
      <c r="K11">
        <v>2.48</v>
      </c>
      <c r="L11" t="s">
        <v>36</v>
      </c>
      <c r="M11" t="s">
        <v>29</v>
      </c>
      <c r="N11" t="s">
        <v>48</v>
      </c>
    </row>
    <row r="12" spans="1:14">
      <c r="A12" t="s">
        <v>76</v>
      </c>
      <c r="B12" t="s">
        <v>77</v>
      </c>
      <c r="C12" t="s">
        <v>78</v>
      </c>
      <c r="D12" t="s">
        <v>26</v>
      </c>
      <c r="E12" t="s">
        <v>34</v>
      </c>
      <c r="F12" t="s">
        <v>59</v>
      </c>
      <c r="G12">
        <v>5</v>
      </c>
      <c r="H12">
        <v>6.44</v>
      </c>
      <c r="I12">
        <v>32.2</v>
      </c>
      <c r="J12">
        <v>16.34</v>
      </c>
      <c r="K12">
        <v>15.86</v>
      </c>
      <c r="L12" t="s">
        <v>36</v>
      </c>
      <c r="M12" t="s">
        <v>54</v>
      </c>
      <c r="N12" t="s">
        <v>79</v>
      </c>
    </row>
    <row r="13" spans="1:14">
      <c r="A13" t="s">
        <v>80</v>
      </c>
      <c r="B13" t="s">
        <v>81</v>
      </c>
      <c r="C13" t="s">
        <v>82</v>
      </c>
      <c r="D13" t="s">
        <v>26</v>
      </c>
      <c r="E13" t="s">
        <v>74</v>
      </c>
      <c r="F13" t="s">
        <v>83</v>
      </c>
      <c r="G13">
        <v>2</v>
      </c>
      <c r="H13">
        <v>6.34</v>
      </c>
      <c r="I13">
        <v>12.68</v>
      </c>
      <c r="J13">
        <v>8.33</v>
      </c>
      <c r="K13">
        <v>4.35</v>
      </c>
      <c r="L13" t="s">
        <v>53</v>
      </c>
      <c r="M13" t="s">
        <v>29</v>
      </c>
      <c r="N13" t="s">
        <v>84</v>
      </c>
    </row>
    <row r="14" spans="1:14">
      <c r="A14" t="s">
        <v>85</v>
      </c>
      <c r="B14" t="s">
        <v>86</v>
      </c>
      <c r="C14" t="s">
        <v>87</v>
      </c>
      <c r="D14" t="s">
        <v>69</v>
      </c>
      <c r="E14" t="s">
        <v>18</v>
      </c>
      <c r="F14" t="s">
        <v>41</v>
      </c>
      <c r="G14">
        <v>1</v>
      </c>
      <c r="H14">
        <v>6.12</v>
      </c>
      <c r="I14">
        <v>6.12</v>
      </c>
      <c r="J14">
        <v>3.73</v>
      </c>
      <c r="K14">
        <v>2.39</v>
      </c>
      <c r="L14" t="s">
        <v>53</v>
      </c>
      <c r="M14" t="s">
        <v>21</v>
      </c>
      <c r="N14" t="s">
        <v>88</v>
      </c>
    </row>
    <row r="15" spans="1:14">
      <c r="A15" t="s">
        <v>89</v>
      </c>
      <c r="B15" t="s">
        <v>90</v>
      </c>
      <c r="C15" t="s">
        <v>91</v>
      </c>
      <c r="D15" t="s">
        <v>46</v>
      </c>
      <c r="E15" t="s">
        <v>74</v>
      </c>
      <c r="F15" t="s">
        <v>92</v>
      </c>
      <c r="G15">
        <v>5</v>
      </c>
      <c r="H15">
        <v>3.17</v>
      </c>
      <c r="I15">
        <v>15.85</v>
      </c>
      <c r="J15">
        <v>8.82</v>
      </c>
      <c r="K15">
        <v>7.03</v>
      </c>
      <c r="L15" t="s">
        <v>36</v>
      </c>
      <c r="M15" t="s">
        <v>21</v>
      </c>
      <c r="N15" t="s">
        <v>93</v>
      </c>
    </row>
    <row r="16" spans="1:14">
      <c r="A16" t="s">
        <v>94</v>
      </c>
      <c r="B16" t="s">
        <v>95</v>
      </c>
      <c r="C16" t="s">
        <v>96</v>
      </c>
      <c r="D16" t="s">
        <v>52</v>
      </c>
      <c r="E16" t="s">
        <v>34</v>
      </c>
      <c r="F16" t="s">
        <v>59</v>
      </c>
      <c r="G16">
        <v>3</v>
      </c>
      <c r="H16">
        <v>5.16</v>
      </c>
      <c r="I16">
        <v>15.48</v>
      </c>
      <c r="J16">
        <v>9.91</v>
      </c>
      <c r="K16">
        <v>5.57</v>
      </c>
      <c r="L16" t="s">
        <v>53</v>
      </c>
      <c r="M16" t="s">
        <v>29</v>
      </c>
      <c r="N16" t="s">
        <v>97</v>
      </c>
    </row>
    <row r="17" spans="1:14">
      <c r="A17" t="s">
        <v>98</v>
      </c>
      <c r="B17" t="s">
        <v>99</v>
      </c>
      <c r="C17" t="s">
        <v>100</v>
      </c>
      <c r="D17" t="s">
        <v>52</v>
      </c>
      <c r="E17" t="s">
        <v>34</v>
      </c>
      <c r="F17" t="s">
        <v>35</v>
      </c>
      <c r="G17">
        <v>4</v>
      </c>
      <c r="H17">
        <v>3.53</v>
      </c>
      <c r="I17">
        <v>14.12</v>
      </c>
      <c r="J17">
        <v>6.98</v>
      </c>
      <c r="K17">
        <v>7.14</v>
      </c>
      <c r="L17" t="s">
        <v>53</v>
      </c>
      <c r="M17" t="s">
        <v>21</v>
      </c>
      <c r="N17" t="s">
        <v>101</v>
      </c>
    </row>
    <row r="18" spans="1:14">
      <c r="A18" t="s">
        <v>102</v>
      </c>
      <c r="B18" t="s">
        <v>103</v>
      </c>
      <c r="C18" t="s">
        <v>104</v>
      </c>
      <c r="D18" t="s">
        <v>46</v>
      </c>
      <c r="E18" t="s">
        <v>18</v>
      </c>
      <c r="F18" t="s">
        <v>19</v>
      </c>
      <c r="G18">
        <v>4</v>
      </c>
      <c r="H18">
        <v>3.85</v>
      </c>
      <c r="I18">
        <v>15.4</v>
      </c>
      <c r="J18">
        <v>8.23</v>
      </c>
      <c r="K18">
        <v>7.17</v>
      </c>
      <c r="L18" t="s">
        <v>60</v>
      </c>
      <c r="M18" t="s">
        <v>54</v>
      </c>
      <c r="N18" t="s">
        <v>105</v>
      </c>
    </row>
    <row r="19" spans="1:14">
      <c r="A19" t="s">
        <v>106</v>
      </c>
      <c r="B19" t="s">
        <v>107</v>
      </c>
      <c r="C19" t="s">
        <v>108</v>
      </c>
      <c r="D19" t="s">
        <v>26</v>
      </c>
      <c r="E19" t="s">
        <v>34</v>
      </c>
      <c r="F19" t="s">
        <v>47</v>
      </c>
      <c r="G19">
        <v>1</v>
      </c>
      <c r="H19">
        <v>7.43</v>
      </c>
      <c r="I19">
        <v>7.43</v>
      </c>
      <c r="J19">
        <v>3.76</v>
      </c>
      <c r="K19">
        <v>3.67</v>
      </c>
      <c r="L19" t="s">
        <v>60</v>
      </c>
      <c r="M19" t="s">
        <v>54</v>
      </c>
      <c r="N19" t="s">
        <v>88</v>
      </c>
    </row>
    <row r="20" spans="1:14">
      <c r="A20" t="s">
        <v>109</v>
      </c>
      <c r="B20" t="s">
        <v>44</v>
      </c>
      <c r="C20" t="s">
        <v>110</v>
      </c>
      <c r="D20" t="s">
        <v>69</v>
      </c>
      <c r="E20" t="s">
        <v>18</v>
      </c>
      <c r="F20" t="s">
        <v>41</v>
      </c>
      <c r="G20">
        <v>3</v>
      </c>
      <c r="H20">
        <v>5.51</v>
      </c>
      <c r="I20">
        <v>16.53</v>
      </c>
      <c r="J20">
        <v>11.08</v>
      </c>
      <c r="K20">
        <v>5.45</v>
      </c>
      <c r="L20" t="s">
        <v>53</v>
      </c>
      <c r="M20" t="s">
        <v>21</v>
      </c>
      <c r="N20" t="s">
        <v>111</v>
      </c>
    </row>
    <row r="21" spans="1:14">
      <c r="A21" t="s">
        <v>112</v>
      </c>
      <c r="B21" t="s">
        <v>113</v>
      </c>
      <c r="C21" t="s">
        <v>40</v>
      </c>
      <c r="D21" t="s">
        <v>69</v>
      </c>
      <c r="E21" t="s">
        <v>34</v>
      </c>
      <c r="F21" t="s">
        <v>59</v>
      </c>
      <c r="G21">
        <v>4</v>
      </c>
      <c r="H21">
        <v>4.44</v>
      </c>
      <c r="I21">
        <v>17.76</v>
      </c>
      <c r="J21">
        <v>8.59</v>
      </c>
      <c r="K21">
        <v>9.17</v>
      </c>
      <c r="L21" t="s">
        <v>60</v>
      </c>
      <c r="M21" t="s">
        <v>29</v>
      </c>
      <c r="N21" t="s">
        <v>114</v>
      </c>
    </row>
    <row r="22" spans="1:14">
      <c r="A22" t="s">
        <v>115</v>
      </c>
      <c r="B22" t="s">
        <v>116</v>
      </c>
      <c r="C22" t="s">
        <v>117</v>
      </c>
      <c r="D22" t="s">
        <v>46</v>
      </c>
      <c r="E22" t="s">
        <v>27</v>
      </c>
      <c r="F22" t="s">
        <v>28</v>
      </c>
      <c r="G22">
        <v>3</v>
      </c>
      <c r="H22">
        <v>6.57</v>
      </c>
      <c r="I22">
        <v>19.71</v>
      </c>
      <c r="J22">
        <v>10.65</v>
      </c>
      <c r="K22">
        <v>9.06</v>
      </c>
      <c r="L22" t="s">
        <v>20</v>
      </c>
      <c r="M22" t="s">
        <v>29</v>
      </c>
      <c r="N22" t="s">
        <v>118</v>
      </c>
    </row>
    <row r="23" spans="1:14">
      <c r="A23" t="s">
        <v>119</v>
      </c>
      <c r="B23" t="s">
        <v>120</v>
      </c>
      <c r="C23" t="s">
        <v>121</v>
      </c>
      <c r="D23" t="s">
        <v>46</v>
      </c>
      <c r="E23" t="s">
        <v>27</v>
      </c>
      <c r="F23" t="s">
        <v>28</v>
      </c>
      <c r="G23">
        <v>1</v>
      </c>
      <c r="H23">
        <v>6.61</v>
      </c>
      <c r="I23">
        <v>6.61</v>
      </c>
      <c r="J23">
        <v>4.32</v>
      </c>
      <c r="K23">
        <v>2.29</v>
      </c>
      <c r="L23" t="s">
        <v>20</v>
      </c>
      <c r="M23" t="s">
        <v>54</v>
      </c>
      <c r="N23" t="s">
        <v>55</v>
      </c>
    </row>
    <row r="24" spans="1:14">
      <c r="A24" t="s">
        <v>122</v>
      </c>
      <c r="B24" t="s">
        <v>123</v>
      </c>
      <c r="C24" t="s">
        <v>124</v>
      </c>
      <c r="D24" t="s">
        <v>26</v>
      </c>
      <c r="E24" t="s">
        <v>27</v>
      </c>
      <c r="F24" t="s">
        <v>125</v>
      </c>
      <c r="G24">
        <v>5</v>
      </c>
      <c r="H24">
        <v>2.97</v>
      </c>
      <c r="I24">
        <v>14.85</v>
      </c>
      <c r="J24">
        <v>7.92</v>
      </c>
      <c r="K24">
        <v>6.93</v>
      </c>
      <c r="L24" t="s">
        <v>60</v>
      </c>
      <c r="M24" t="s">
        <v>54</v>
      </c>
      <c r="N24" t="s">
        <v>126</v>
      </c>
    </row>
    <row r="25" spans="1:14">
      <c r="A25" t="s">
        <v>127</v>
      </c>
      <c r="B25" t="s">
        <v>128</v>
      </c>
      <c r="C25" t="s">
        <v>129</v>
      </c>
      <c r="D25" t="s">
        <v>17</v>
      </c>
      <c r="E25" t="s">
        <v>34</v>
      </c>
      <c r="F25" t="s">
        <v>130</v>
      </c>
      <c r="G25">
        <v>2</v>
      </c>
      <c r="H25">
        <v>4.21</v>
      </c>
      <c r="I25">
        <v>8.42</v>
      </c>
      <c r="J25">
        <v>5.63</v>
      </c>
      <c r="K25">
        <v>2.79</v>
      </c>
      <c r="L25" t="s">
        <v>36</v>
      </c>
      <c r="M25" t="s">
        <v>54</v>
      </c>
      <c r="N25" t="s">
        <v>131</v>
      </c>
    </row>
    <row r="26" spans="1:14">
      <c r="A26" t="s">
        <v>132</v>
      </c>
      <c r="B26" t="s">
        <v>133</v>
      </c>
      <c r="C26" t="s">
        <v>134</v>
      </c>
      <c r="D26" t="s">
        <v>46</v>
      </c>
      <c r="E26" t="s">
        <v>34</v>
      </c>
      <c r="F26" t="s">
        <v>135</v>
      </c>
      <c r="G26">
        <v>4</v>
      </c>
      <c r="H26">
        <v>5.69</v>
      </c>
      <c r="I26">
        <v>22.76</v>
      </c>
      <c r="J26">
        <v>15.23</v>
      </c>
      <c r="K26">
        <v>7.53</v>
      </c>
      <c r="L26" t="s">
        <v>20</v>
      </c>
      <c r="M26" t="s">
        <v>54</v>
      </c>
      <c r="N26" t="s">
        <v>48</v>
      </c>
    </row>
    <row r="27" spans="1:14">
      <c r="A27" t="s">
        <v>136</v>
      </c>
      <c r="B27" t="s">
        <v>137</v>
      </c>
      <c r="C27" t="s">
        <v>138</v>
      </c>
      <c r="D27" t="s">
        <v>69</v>
      </c>
      <c r="E27" t="s">
        <v>74</v>
      </c>
      <c r="F27" t="s">
        <v>92</v>
      </c>
      <c r="G27">
        <v>3</v>
      </c>
      <c r="H27">
        <v>7.1</v>
      </c>
      <c r="I27">
        <v>21.3</v>
      </c>
      <c r="J27">
        <v>13.09</v>
      </c>
      <c r="K27">
        <v>8.21</v>
      </c>
      <c r="L27" t="s">
        <v>53</v>
      </c>
      <c r="M27" t="s">
        <v>29</v>
      </c>
      <c r="N27" t="s">
        <v>139</v>
      </c>
    </row>
    <row r="28" spans="1:14">
      <c r="A28" t="s">
        <v>140</v>
      </c>
      <c r="B28" t="s">
        <v>128</v>
      </c>
      <c r="C28" t="s">
        <v>141</v>
      </c>
      <c r="D28" t="s">
        <v>46</v>
      </c>
      <c r="E28" t="s">
        <v>18</v>
      </c>
      <c r="F28" t="s">
        <v>41</v>
      </c>
      <c r="G28">
        <v>5</v>
      </c>
      <c r="H28">
        <v>6.9</v>
      </c>
      <c r="I28">
        <v>34.5</v>
      </c>
      <c r="J28">
        <v>16.05</v>
      </c>
      <c r="K28">
        <v>18.45</v>
      </c>
      <c r="L28" t="s">
        <v>60</v>
      </c>
      <c r="M28" t="s">
        <v>54</v>
      </c>
      <c r="N28" t="s">
        <v>142</v>
      </c>
    </row>
    <row r="29" spans="1:14">
      <c r="A29" t="s">
        <v>143</v>
      </c>
      <c r="B29" t="s">
        <v>144</v>
      </c>
      <c r="C29" t="s">
        <v>145</v>
      </c>
      <c r="D29" t="s">
        <v>46</v>
      </c>
      <c r="E29" t="s">
        <v>18</v>
      </c>
      <c r="F29" t="s">
        <v>146</v>
      </c>
      <c r="G29">
        <v>4</v>
      </c>
      <c r="H29">
        <v>2.84</v>
      </c>
      <c r="I29">
        <v>11.36</v>
      </c>
      <c r="J29">
        <v>7.42</v>
      </c>
      <c r="K29">
        <v>3.94</v>
      </c>
      <c r="L29" t="s">
        <v>53</v>
      </c>
      <c r="M29" t="s">
        <v>54</v>
      </c>
      <c r="N29" t="s">
        <v>147</v>
      </c>
    </row>
    <row r="30" spans="1:14">
      <c r="A30" t="s">
        <v>148</v>
      </c>
      <c r="B30" t="s">
        <v>149</v>
      </c>
      <c r="C30" t="s">
        <v>150</v>
      </c>
      <c r="D30" t="s">
        <v>26</v>
      </c>
      <c r="E30" t="s">
        <v>27</v>
      </c>
      <c r="F30" t="s">
        <v>28</v>
      </c>
      <c r="G30">
        <v>1</v>
      </c>
      <c r="H30">
        <v>3.95</v>
      </c>
      <c r="I30">
        <v>3.95</v>
      </c>
      <c r="J30">
        <v>1.98</v>
      </c>
      <c r="K30">
        <v>1.97</v>
      </c>
      <c r="L30" t="s">
        <v>20</v>
      </c>
      <c r="M30" t="s">
        <v>21</v>
      </c>
      <c r="N30" t="s">
        <v>151</v>
      </c>
    </row>
    <row r="31" spans="1:14">
      <c r="A31" t="s">
        <v>152</v>
      </c>
      <c r="B31" t="s">
        <v>153</v>
      </c>
      <c r="C31" t="s">
        <v>154</v>
      </c>
      <c r="D31" t="s">
        <v>26</v>
      </c>
      <c r="E31" t="s">
        <v>18</v>
      </c>
      <c r="F31" t="s">
        <v>41</v>
      </c>
      <c r="G31">
        <v>1</v>
      </c>
      <c r="H31">
        <v>6.76</v>
      </c>
      <c r="I31">
        <v>6.76</v>
      </c>
      <c r="J31">
        <v>3.82</v>
      </c>
      <c r="K31">
        <v>2.94</v>
      </c>
      <c r="L31" t="s">
        <v>36</v>
      </c>
      <c r="M31" t="s">
        <v>54</v>
      </c>
      <c r="N31" t="s">
        <v>155</v>
      </c>
    </row>
    <row r="32" spans="1:14">
      <c r="A32" t="s">
        <v>156</v>
      </c>
      <c r="B32" t="s">
        <v>157</v>
      </c>
      <c r="C32" t="s">
        <v>158</v>
      </c>
      <c r="D32" t="s">
        <v>52</v>
      </c>
      <c r="E32" t="s">
        <v>74</v>
      </c>
      <c r="F32" t="s">
        <v>75</v>
      </c>
      <c r="G32">
        <v>4</v>
      </c>
      <c r="H32">
        <v>3.69</v>
      </c>
      <c r="I32">
        <v>14.76</v>
      </c>
      <c r="J32">
        <v>9.55</v>
      </c>
      <c r="K32">
        <v>5.21</v>
      </c>
      <c r="L32" t="s">
        <v>36</v>
      </c>
      <c r="M32" t="s">
        <v>21</v>
      </c>
      <c r="N32" t="s">
        <v>48</v>
      </c>
    </row>
    <row r="33" spans="1:14">
      <c r="A33" t="s">
        <v>159</v>
      </c>
      <c r="B33" t="s">
        <v>160</v>
      </c>
      <c r="C33" t="s">
        <v>161</v>
      </c>
      <c r="D33" t="s">
        <v>69</v>
      </c>
      <c r="E33" t="s">
        <v>27</v>
      </c>
      <c r="F33" t="s">
        <v>28</v>
      </c>
      <c r="G33">
        <v>1</v>
      </c>
      <c r="H33">
        <v>7.85</v>
      </c>
      <c r="I33">
        <v>7.85</v>
      </c>
      <c r="J33">
        <v>5.25</v>
      </c>
      <c r="K33">
        <v>2.6</v>
      </c>
      <c r="L33" t="s">
        <v>20</v>
      </c>
      <c r="M33" t="s">
        <v>54</v>
      </c>
      <c r="N33" t="s">
        <v>22</v>
      </c>
    </row>
    <row r="34" spans="1:14">
      <c r="A34" t="s">
        <v>162</v>
      </c>
      <c r="B34" t="s">
        <v>163</v>
      </c>
      <c r="C34" t="s">
        <v>164</v>
      </c>
      <c r="D34" t="s">
        <v>69</v>
      </c>
      <c r="E34" t="s">
        <v>74</v>
      </c>
      <c r="F34" t="s">
        <v>75</v>
      </c>
      <c r="G34">
        <v>4</v>
      </c>
      <c r="H34">
        <v>2.91</v>
      </c>
      <c r="I34">
        <v>11.64</v>
      </c>
      <c r="J34">
        <v>5.35</v>
      </c>
      <c r="K34">
        <v>6.29</v>
      </c>
      <c r="L34" t="s">
        <v>60</v>
      </c>
      <c r="M34" t="s">
        <v>29</v>
      </c>
      <c r="N34" t="s">
        <v>165</v>
      </c>
    </row>
    <row r="35" spans="1:14">
      <c r="A35" t="s">
        <v>166</v>
      </c>
      <c r="B35" t="s">
        <v>167</v>
      </c>
      <c r="C35" t="s">
        <v>168</v>
      </c>
      <c r="D35" t="s">
        <v>69</v>
      </c>
      <c r="E35" t="s">
        <v>27</v>
      </c>
      <c r="F35" t="s">
        <v>169</v>
      </c>
      <c r="G35">
        <v>4</v>
      </c>
      <c r="H35">
        <v>7.36</v>
      </c>
      <c r="I35">
        <v>29.44</v>
      </c>
      <c r="J35">
        <v>13.59</v>
      </c>
      <c r="K35">
        <v>15.85</v>
      </c>
      <c r="L35" t="s">
        <v>36</v>
      </c>
      <c r="M35" t="s">
        <v>21</v>
      </c>
      <c r="N35" t="s">
        <v>170</v>
      </c>
    </row>
    <row r="36" spans="1:14">
      <c r="A36" t="s">
        <v>171</v>
      </c>
      <c r="B36" t="s">
        <v>172</v>
      </c>
      <c r="C36" t="s">
        <v>173</v>
      </c>
      <c r="D36" t="s">
        <v>69</v>
      </c>
      <c r="E36" t="s">
        <v>18</v>
      </c>
      <c r="F36" t="s">
        <v>146</v>
      </c>
      <c r="G36">
        <v>4</v>
      </c>
      <c r="H36">
        <v>5.7</v>
      </c>
      <c r="I36">
        <v>22.8</v>
      </c>
      <c r="J36">
        <v>13.28</v>
      </c>
      <c r="K36">
        <v>9.52</v>
      </c>
      <c r="L36" t="s">
        <v>36</v>
      </c>
      <c r="M36" t="s">
        <v>21</v>
      </c>
      <c r="N36" t="s">
        <v>174</v>
      </c>
    </row>
    <row r="37" spans="1:14">
      <c r="A37" t="s">
        <v>175</v>
      </c>
      <c r="B37" t="s">
        <v>113</v>
      </c>
      <c r="C37" t="s">
        <v>176</v>
      </c>
      <c r="D37" t="s">
        <v>46</v>
      </c>
      <c r="E37" t="s">
        <v>34</v>
      </c>
      <c r="F37" t="s">
        <v>135</v>
      </c>
      <c r="G37">
        <v>4</v>
      </c>
      <c r="H37">
        <v>7.95</v>
      </c>
      <c r="I37">
        <v>31.8</v>
      </c>
      <c r="J37">
        <v>18.95</v>
      </c>
      <c r="K37">
        <v>12.85</v>
      </c>
      <c r="L37" t="s">
        <v>60</v>
      </c>
      <c r="M37" t="s">
        <v>54</v>
      </c>
      <c r="N37" t="s">
        <v>177</v>
      </c>
    </row>
    <row r="38" spans="1:14">
      <c r="A38" t="s">
        <v>178</v>
      </c>
      <c r="B38" t="s">
        <v>179</v>
      </c>
      <c r="C38" t="s">
        <v>180</v>
      </c>
      <c r="D38" t="s">
        <v>69</v>
      </c>
      <c r="E38" t="s">
        <v>34</v>
      </c>
      <c r="F38" t="s">
        <v>47</v>
      </c>
      <c r="G38">
        <v>1</v>
      </c>
      <c r="H38">
        <v>2.66</v>
      </c>
      <c r="I38">
        <v>2.66</v>
      </c>
      <c r="J38">
        <v>1.83</v>
      </c>
      <c r="K38">
        <v>0.83</v>
      </c>
      <c r="L38" t="s">
        <v>20</v>
      </c>
      <c r="M38" t="s">
        <v>29</v>
      </c>
      <c r="N38" t="s">
        <v>30</v>
      </c>
    </row>
    <row r="39" spans="1:14">
      <c r="A39" t="s">
        <v>181</v>
      </c>
      <c r="B39" t="s">
        <v>179</v>
      </c>
      <c r="C39" t="s">
        <v>182</v>
      </c>
      <c r="D39" t="s">
        <v>52</v>
      </c>
      <c r="E39" t="s">
        <v>18</v>
      </c>
      <c r="F39" t="s">
        <v>41</v>
      </c>
      <c r="G39">
        <v>5</v>
      </c>
      <c r="H39">
        <v>7.03</v>
      </c>
      <c r="I39">
        <v>35.15</v>
      </c>
      <c r="J39">
        <v>18.24</v>
      </c>
      <c r="K39">
        <v>16.91</v>
      </c>
      <c r="L39" t="s">
        <v>53</v>
      </c>
      <c r="M39" t="s">
        <v>21</v>
      </c>
      <c r="N39" t="s">
        <v>183</v>
      </c>
    </row>
    <row r="40" spans="1:14">
      <c r="A40" t="s">
        <v>184</v>
      </c>
      <c r="B40" t="s">
        <v>185</v>
      </c>
      <c r="C40" t="s">
        <v>186</v>
      </c>
      <c r="D40" t="s">
        <v>52</v>
      </c>
      <c r="E40" t="s">
        <v>18</v>
      </c>
      <c r="F40" t="s">
        <v>19</v>
      </c>
      <c r="G40">
        <v>3</v>
      </c>
      <c r="H40">
        <v>6.34</v>
      </c>
      <c r="I40">
        <v>19.02</v>
      </c>
      <c r="J40">
        <v>12.69</v>
      </c>
      <c r="K40">
        <v>6.33</v>
      </c>
      <c r="L40" t="s">
        <v>36</v>
      </c>
      <c r="M40" t="s">
        <v>21</v>
      </c>
      <c r="N40" t="s">
        <v>187</v>
      </c>
    </row>
    <row r="41" spans="1:14">
      <c r="A41" t="s">
        <v>188</v>
      </c>
      <c r="B41" t="s">
        <v>189</v>
      </c>
      <c r="C41" t="s">
        <v>190</v>
      </c>
      <c r="D41" t="s">
        <v>69</v>
      </c>
      <c r="E41" t="s">
        <v>18</v>
      </c>
      <c r="F41" t="s">
        <v>19</v>
      </c>
      <c r="G41">
        <v>3</v>
      </c>
      <c r="H41">
        <v>2.76</v>
      </c>
      <c r="I41">
        <v>8.28</v>
      </c>
      <c r="J41">
        <v>4.86</v>
      </c>
      <c r="K41">
        <v>3.42</v>
      </c>
      <c r="L41" t="s">
        <v>60</v>
      </c>
      <c r="M41" t="s">
        <v>54</v>
      </c>
      <c r="N41" t="s">
        <v>191</v>
      </c>
    </row>
    <row r="42" spans="1:14">
      <c r="A42" t="s">
        <v>192</v>
      </c>
      <c r="B42" t="s">
        <v>193</v>
      </c>
      <c r="C42" t="s">
        <v>194</v>
      </c>
      <c r="D42" t="s">
        <v>17</v>
      </c>
      <c r="E42" t="s">
        <v>18</v>
      </c>
      <c r="F42" t="s">
        <v>146</v>
      </c>
      <c r="G42">
        <v>4</v>
      </c>
      <c r="H42">
        <v>4.27</v>
      </c>
      <c r="I42">
        <v>17.08</v>
      </c>
      <c r="J42">
        <v>10.69</v>
      </c>
      <c r="K42">
        <v>6.39</v>
      </c>
      <c r="L42" t="s">
        <v>53</v>
      </c>
      <c r="M42" t="s">
        <v>54</v>
      </c>
      <c r="N42" t="s">
        <v>79</v>
      </c>
    </row>
    <row r="43" spans="1:14">
      <c r="A43" t="s">
        <v>195</v>
      </c>
      <c r="B43" t="s">
        <v>196</v>
      </c>
      <c r="C43" t="s">
        <v>197</v>
      </c>
      <c r="D43" t="s">
        <v>17</v>
      </c>
      <c r="E43" t="s">
        <v>18</v>
      </c>
      <c r="F43" t="s">
        <v>19</v>
      </c>
      <c r="G43">
        <v>4</v>
      </c>
      <c r="H43">
        <v>5.85</v>
      </c>
      <c r="I43">
        <v>23.4</v>
      </c>
      <c r="J43">
        <v>12.99</v>
      </c>
      <c r="K43">
        <v>10.41</v>
      </c>
      <c r="L43" t="s">
        <v>60</v>
      </c>
      <c r="M43" t="s">
        <v>54</v>
      </c>
      <c r="N43" t="s">
        <v>170</v>
      </c>
    </row>
    <row r="44" spans="1:14">
      <c r="A44" t="s">
        <v>198</v>
      </c>
      <c r="B44" t="s">
        <v>86</v>
      </c>
      <c r="C44" t="s">
        <v>199</v>
      </c>
      <c r="D44" t="s">
        <v>26</v>
      </c>
      <c r="E44" t="s">
        <v>74</v>
      </c>
      <c r="F44" t="s">
        <v>75</v>
      </c>
      <c r="G44">
        <v>4</v>
      </c>
      <c r="H44">
        <v>5.43</v>
      </c>
      <c r="I44">
        <v>21.72</v>
      </c>
      <c r="J44">
        <v>11.87</v>
      </c>
      <c r="K44">
        <v>9.85</v>
      </c>
      <c r="L44" t="s">
        <v>60</v>
      </c>
      <c r="M44" t="s">
        <v>29</v>
      </c>
      <c r="N44" t="s">
        <v>200</v>
      </c>
    </row>
    <row r="45" spans="1:14">
      <c r="A45" t="s">
        <v>201</v>
      </c>
      <c r="B45" t="s">
        <v>202</v>
      </c>
      <c r="C45" t="s">
        <v>203</v>
      </c>
      <c r="D45" t="s">
        <v>46</v>
      </c>
      <c r="E45" t="s">
        <v>27</v>
      </c>
      <c r="F45" t="s">
        <v>28</v>
      </c>
      <c r="G45">
        <v>2</v>
      </c>
      <c r="H45">
        <v>2.62</v>
      </c>
      <c r="I45">
        <v>5.24</v>
      </c>
      <c r="J45">
        <v>2.99</v>
      </c>
      <c r="K45">
        <v>2.25</v>
      </c>
      <c r="L45" t="s">
        <v>20</v>
      </c>
      <c r="M45" t="s">
        <v>54</v>
      </c>
      <c r="N45" t="s">
        <v>126</v>
      </c>
    </row>
    <row r="46" spans="1:14">
      <c r="A46" t="s">
        <v>204</v>
      </c>
      <c r="B46" t="s">
        <v>205</v>
      </c>
      <c r="C46" t="s">
        <v>206</v>
      </c>
      <c r="D46" t="s">
        <v>52</v>
      </c>
      <c r="E46" t="s">
        <v>34</v>
      </c>
      <c r="F46" t="s">
        <v>130</v>
      </c>
      <c r="G46">
        <v>5</v>
      </c>
      <c r="H46">
        <v>4.17</v>
      </c>
      <c r="I46">
        <v>20.85</v>
      </c>
      <c r="J46">
        <v>13.6</v>
      </c>
      <c r="K46">
        <v>7.25</v>
      </c>
      <c r="L46" t="s">
        <v>60</v>
      </c>
      <c r="M46" t="s">
        <v>29</v>
      </c>
      <c r="N46" t="s">
        <v>207</v>
      </c>
    </row>
    <row r="47" spans="1:14">
      <c r="A47" t="s">
        <v>208</v>
      </c>
      <c r="B47" t="s">
        <v>116</v>
      </c>
      <c r="C47" t="s">
        <v>96</v>
      </c>
      <c r="D47" t="s">
        <v>46</v>
      </c>
      <c r="E47" t="s">
        <v>18</v>
      </c>
      <c r="F47" t="s">
        <v>146</v>
      </c>
      <c r="G47">
        <v>4</v>
      </c>
      <c r="H47">
        <v>3.95</v>
      </c>
      <c r="I47">
        <v>15.8</v>
      </c>
      <c r="J47">
        <v>10.19</v>
      </c>
      <c r="K47">
        <v>5.61</v>
      </c>
      <c r="L47" t="s">
        <v>60</v>
      </c>
      <c r="M47" t="s">
        <v>21</v>
      </c>
      <c r="N47" t="s">
        <v>209</v>
      </c>
    </row>
    <row r="48" spans="1:14">
      <c r="A48" t="s">
        <v>210</v>
      </c>
      <c r="B48" t="s">
        <v>39</v>
      </c>
      <c r="C48" t="s">
        <v>211</v>
      </c>
      <c r="D48" t="s">
        <v>17</v>
      </c>
      <c r="E48" t="s">
        <v>18</v>
      </c>
      <c r="F48" t="s">
        <v>146</v>
      </c>
      <c r="G48">
        <v>1</v>
      </c>
      <c r="H48">
        <v>3.93</v>
      </c>
      <c r="I48">
        <v>3.93</v>
      </c>
      <c r="J48">
        <v>1.97</v>
      </c>
      <c r="K48">
        <v>1.96</v>
      </c>
      <c r="L48" t="s">
        <v>36</v>
      </c>
      <c r="M48" t="s">
        <v>29</v>
      </c>
      <c r="N48" t="s">
        <v>212</v>
      </c>
    </row>
    <row r="49" spans="1:14">
      <c r="A49" t="s">
        <v>213</v>
      </c>
      <c r="B49" t="s">
        <v>214</v>
      </c>
      <c r="C49" t="s">
        <v>215</v>
      </c>
      <c r="D49" t="s">
        <v>69</v>
      </c>
      <c r="E49" t="s">
        <v>27</v>
      </c>
      <c r="F49" t="s">
        <v>70</v>
      </c>
      <c r="G49">
        <v>4</v>
      </c>
      <c r="H49">
        <v>5.46</v>
      </c>
      <c r="I49">
        <v>21.84</v>
      </c>
      <c r="J49">
        <v>10.04</v>
      </c>
      <c r="K49">
        <v>11.8</v>
      </c>
      <c r="L49" t="s">
        <v>36</v>
      </c>
      <c r="M49" t="s">
        <v>21</v>
      </c>
      <c r="N49" t="s">
        <v>216</v>
      </c>
    </row>
    <row r="50" spans="1:14">
      <c r="A50" t="s">
        <v>217</v>
      </c>
      <c r="B50" t="s">
        <v>218</v>
      </c>
      <c r="C50" t="s">
        <v>219</v>
      </c>
      <c r="D50" t="s">
        <v>46</v>
      </c>
      <c r="E50" t="s">
        <v>18</v>
      </c>
      <c r="F50" t="s">
        <v>41</v>
      </c>
      <c r="G50">
        <v>1</v>
      </c>
      <c r="H50">
        <v>6.58</v>
      </c>
      <c r="I50">
        <v>6.58</v>
      </c>
      <c r="J50">
        <v>3.33</v>
      </c>
      <c r="K50">
        <v>3.25</v>
      </c>
      <c r="L50" t="s">
        <v>53</v>
      </c>
      <c r="M50" t="s">
        <v>54</v>
      </c>
      <c r="N50" t="s">
        <v>111</v>
      </c>
    </row>
    <row r="51" spans="1:14">
      <c r="A51" t="s">
        <v>220</v>
      </c>
      <c r="B51" t="s">
        <v>221</v>
      </c>
      <c r="C51" t="s">
        <v>222</v>
      </c>
      <c r="D51" t="s">
        <v>26</v>
      </c>
      <c r="E51" t="s">
        <v>74</v>
      </c>
      <c r="F51" t="s">
        <v>92</v>
      </c>
      <c r="G51">
        <v>3</v>
      </c>
      <c r="H51">
        <v>7.93</v>
      </c>
      <c r="I51">
        <v>23.79</v>
      </c>
      <c r="J51">
        <v>13.16</v>
      </c>
      <c r="K51">
        <v>10.63</v>
      </c>
      <c r="L51" t="s">
        <v>36</v>
      </c>
      <c r="M51" t="s">
        <v>54</v>
      </c>
      <c r="N51" t="s">
        <v>223</v>
      </c>
    </row>
    <row r="52" spans="1:14">
      <c r="A52" t="s">
        <v>224</v>
      </c>
      <c r="B52" t="s">
        <v>225</v>
      </c>
      <c r="C52" t="s">
        <v>226</v>
      </c>
      <c r="D52" t="s">
        <v>52</v>
      </c>
      <c r="E52" t="s">
        <v>74</v>
      </c>
      <c r="F52" t="s">
        <v>75</v>
      </c>
      <c r="G52">
        <v>5</v>
      </c>
      <c r="H52">
        <v>4.84</v>
      </c>
      <c r="I52">
        <v>24.2</v>
      </c>
      <c r="J52">
        <v>15.88</v>
      </c>
      <c r="K52">
        <v>8.32</v>
      </c>
      <c r="L52" t="s">
        <v>53</v>
      </c>
      <c r="M52" t="s">
        <v>21</v>
      </c>
      <c r="N52" t="s">
        <v>147</v>
      </c>
    </row>
    <row r="53" spans="1:14">
      <c r="A53" t="s">
        <v>227</v>
      </c>
      <c r="B53" t="s">
        <v>228</v>
      </c>
      <c r="C53" t="s">
        <v>229</v>
      </c>
      <c r="D53" t="s">
        <v>17</v>
      </c>
      <c r="E53" t="s">
        <v>74</v>
      </c>
      <c r="F53" t="s">
        <v>92</v>
      </c>
      <c r="G53">
        <v>1</v>
      </c>
      <c r="H53">
        <v>5.94</v>
      </c>
      <c r="I53">
        <v>5.94</v>
      </c>
      <c r="J53">
        <v>3.33</v>
      </c>
      <c r="K53">
        <v>2.61</v>
      </c>
      <c r="L53" t="s">
        <v>60</v>
      </c>
      <c r="M53" t="s">
        <v>29</v>
      </c>
      <c r="N53" t="s">
        <v>230</v>
      </c>
    </row>
    <row r="54" spans="1:14">
      <c r="A54" t="s">
        <v>231</v>
      </c>
      <c r="B54" t="s">
        <v>232</v>
      </c>
      <c r="C54" t="s">
        <v>233</v>
      </c>
      <c r="D54" t="s">
        <v>17</v>
      </c>
      <c r="E54" t="s">
        <v>27</v>
      </c>
      <c r="F54" t="s">
        <v>169</v>
      </c>
      <c r="G54">
        <v>1</v>
      </c>
      <c r="H54">
        <v>5.35</v>
      </c>
      <c r="I54">
        <v>5.35</v>
      </c>
      <c r="J54">
        <v>3.66</v>
      </c>
      <c r="K54">
        <v>1.69</v>
      </c>
      <c r="L54" t="s">
        <v>60</v>
      </c>
      <c r="M54" t="s">
        <v>29</v>
      </c>
      <c r="N54" t="s">
        <v>234</v>
      </c>
    </row>
    <row r="55" spans="1:14">
      <c r="A55" t="s">
        <v>235</v>
      </c>
      <c r="B55" t="s">
        <v>236</v>
      </c>
      <c r="C55" t="s">
        <v>237</v>
      </c>
      <c r="D55" t="s">
        <v>69</v>
      </c>
      <c r="E55" t="s">
        <v>34</v>
      </c>
      <c r="F55" t="s">
        <v>130</v>
      </c>
      <c r="G55">
        <v>3</v>
      </c>
      <c r="H55">
        <v>6.28</v>
      </c>
      <c r="I55">
        <v>18.84</v>
      </c>
      <c r="J55">
        <v>11.14</v>
      </c>
      <c r="K55">
        <v>7.7</v>
      </c>
      <c r="L55" t="s">
        <v>36</v>
      </c>
      <c r="M55" t="s">
        <v>54</v>
      </c>
      <c r="N55" t="s">
        <v>238</v>
      </c>
    </row>
    <row r="56" spans="1:14">
      <c r="A56" t="s">
        <v>239</v>
      </c>
      <c r="B56" t="s">
        <v>240</v>
      </c>
      <c r="C56" t="s">
        <v>241</v>
      </c>
      <c r="D56" t="s">
        <v>17</v>
      </c>
      <c r="E56" t="s">
        <v>18</v>
      </c>
      <c r="F56" t="s">
        <v>41</v>
      </c>
      <c r="G56">
        <v>2</v>
      </c>
      <c r="H56">
        <v>7.36</v>
      </c>
      <c r="I56">
        <v>14.72</v>
      </c>
      <c r="J56">
        <v>7.3</v>
      </c>
      <c r="K56">
        <v>7.42</v>
      </c>
      <c r="L56" t="s">
        <v>20</v>
      </c>
      <c r="M56" t="s">
        <v>54</v>
      </c>
      <c r="N56" t="s">
        <v>242</v>
      </c>
    </row>
    <row r="57" spans="1:14">
      <c r="A57" t="s">
        <v>243</v>
      </c>
      <c r="B57" t="s">
        <v>244</v>
      </c>
      <c r="C57" t="s">
        <v>245</v>
      </c>
      <c r="D57" t="s">
        <v>26</v>
      </c>
      <c r="E57" t="s">
        <v>74</v>
      </c>
      <c r="F57" t="s">
        <v>75</v>
      </c>
      <c r="G57">
        <v>1</v>
      </c>
      <c r="H57">
        <v>5.09</v>
      </c>
      <c r="I57">
        <v>5.09</v>
      </c>
      <c r="J57">
        <v>2.53</v>
      </c>
      <c r="K57">
        <v>2.56</v>
      </c>
      <c r="L57" t="s">
        <v>20</v>
      </c>
      <c r="M57" t="s">
        <v>21</v>
      </c>
      <c r="N57" t="s">
        <v>191</v>
      </c>
    </row>
    <row r="58" spans="1:14">
      <c r="A58" t="s">
        <v>246</v>
      </c>
      <c r="B58" t="s">
        <v>247</v>
      </c>
      <c r="C58" t="s">
        <v>248</v>
      </c>
      <c r="D58" t="s">
        <v>46</v>
      </c>
      <c r="E58" t="s">
        <v>27</v>
      </c>
      <c r="F58" t="s">
        <v>28</v>
      </c>
      <c r="G58">
        <v>3</v>
      </c>
      <c r="H58">
        <v>4.4</v>
      </c>
      <c r="I58">
        <v>13.2</v>
      </c>
      <c r="J58">
        <v>8.43</v>
      </c>
      <c r="K58">
        <v>4.77</v>
      </c>
      <c r="L58" t="s">
        <v>60</v>
      </c>
      <c r="M58" t="s">
        <v>21</v>
      </c>
      <c r="N58" t="s">
        <v>61</v>
      </c>
    </row>
    <row r="59" spans="1:14">
      <c r="A59" t="s">
        <v>249</v>
      </c>
      <c r="B59" t="s">
        <v>250</v>
      </c>
      <c r="C59" t="s">
        <v>251</v>
      </c>
      <c r="D59" t="s">
        <v>46</v>
      </c>
      <c r="E59" t="s">
        <v>34</v>
      </c>
      <c r="F59" t="s">
        <v>59</v>
      </c>
      <c r="G59">
        <v>2</v>
      </c>
      <c r="H59">
        <v>4.01</v>
      </c>
      <c r="I59">
        <v>8.02</v>
      </c>
      <c r="J59">
        <v>5.13</v>
      </c>
      <c r="K59">
        <v>2.89</v>
      </c>
      <c r="L59" t="s">
        <v>53</v>
      </c>
      <c r="M59" t="s">
        <v>21</v>
      </c>
      <c r="N59" t="s">
        <v>55</v>
      </c>
    </row>
    <row r="60" spans="1:14">
      <c r="A60" t="s">
        <v>252</v>
      </c>
      <c r="B60" t="s">
        <v>113</v>
      </c>
      <c r="C60" t="s">
        <v>253</v>
      </c>
      <c r="D60" t="s">
        <v>52</v>
      </c>
      <c r="E60" t="s">
        <v>27</v>
      </c>
      <c r="F60" t="s">
        <v>70</v>
      </c>
      <c r="G60">
        <v>4</v>
      </c>
      <c r="H60">
        <v>6.48</v>
      </c>
      <c r="I60">
        <v>25.92</v>
      </c>
      <c r="J60">
        <v>12.96</v>
      </c>
      <c r="K60">
        <v>12.96</v>
      </c>
      <c r="L60" t="s">
        <v>60</v>
      </c>
      <c r="M60" t="s">
        <v>29</v>
      </c>
      <c r="N60" t="s">
        <v>183</v>
      </c>
    </row>
    <row r="61" spans="1:14">
      <c r="A61" t="s">
        <v>254</v>
      </c>
      <c r="B61" t="s">
        <v>255</v>
      </c>
      <c r="C61" t="s">
        <v>256</v>
      </c>
      <c r="D61" t="s">
        <v>26</v>
      </c>
      <c r="E61" t="s">
        <v>18</v>
      </c>
      <c r="F61" t="s">
        <v>41</v>
      </c>
      <c r="G61">
        <v>4</v>
      </c>
      <c r="H61">
        <v>5.12</v>
      </c>
      <c r="I61">
        <v>20.48</v>
      </c>
      <c r="J61">
        <v>9.63</v>
      </c>
      <c r="K61">
        <v>10.85</v>
      </c>
      <c r="L61" t="s">
        <v>20</v>
      </c>
      <c r="M61" t="s">
        <v>54</v>
      </c>
      <c r="N61" t="s">
        <v>257</v>
      </c>
    </row>
    <row r="62" spans="1:14">
      <c r="A62" t="s">
        <v>258</v>
      </c>
      <c r="B62" t="s">
        <v>259</v>
      </c>
      <c r="C62" t="s">
        <v>260</v>
      </c>
      <c r="D62" t="s">
        <v>17</v>
      </c>
      <c r="E62" t="s">
        <v>74</v>
      </c>
      <c r="F62" t="s">
        <v>92</v>
      </c>
      <c r="G62">
        <v>3</v>
      </c>
      <c r="H62">
        <v>5.19</v>
      </c>
      <c r="I62">
        <v>15.57</v>
      </c>
      <c r="J62">
        <v>9.63</v>
      </c>
      <c r="K62">
        <v>5.94</v>
      </c>
      <c r="L62" t="s">
        <v>36</v>
      </c>
      <c r="M62" t="s">
        <v>54</v>
      </c>
      <c r="N62" t="s">
        <v>261</v>
      </c>
    </row>
    <row r="63" spans="1:14">
      <c r="A63" t="s">
        <v>262</v>
      </c>
      <c r="B63" t="s">
        <v>263</v>
      </c>
      <c r="C63" t="s">
        <v>264</v>
      </c>
      <c r="D63" t="s">
        <v>46</v>
      </c>
      <c r="E63" t="s">
        <v>18</v>
      </c>
      <c r="F63" t="s">
        <v>41</v>
      </c>
      <c r="G63">
        <v>4</v>
      </c>
      <c r="H63">
        <v>5.94</v>
      </c>
      <c r="I63">
        <v>23.76</v>
      </c>
      <c r="J63">
        <v>16.02</v>
      </c>
      <c r="K63">
        <v>7.74</v>
      </c>
      <c r="L63" t="s">
        <v>60</v>
      </c>
      <c r="M63" t="s">
        <v>21</v>
      </c>
      <c r="N63" t="s">
        <v>126</v>
      </c>
    </row>
    <row r="64" spans="1:14">
      <c r="A64" t="s">
        <v>265</v>
      </c>
      <c r="B64" t="s">
        <v>266</v>
      </c>
      <c r="C64" t="s">
        <v>267</v>
      </c>
      <c r="D64" t="s">
        <v>46</v>
      </c>
      <c r="E64" t="s">
        <v>34</v>
      </c>
      <c r="F64" t="s">
        <v>35</v>
      </c>
      <c r="G64">
        <v>3</v>
      </c>
      <c r="H64">
        <v>5.32</v>
      </c>
      <c r="I64">
        <v>15.96</v>
      </c>
      <c r="J64">
        <v>8.61</v>
      </c>
      <c r="K64">
        <v>7.35</v>
      </c>
      <c r="L64" t="s">
        <v>60</v>
      </c>
      <c r="M64" t="s">
        <v>21</v>
      </c>
      <c r="N64" t="s">
        <v>61</v>
      </c>
    </row>
    <row r="65" spans="1:14">
      <c r="A65" t="s">
        <v>268</v>
      </c>
      <c r="B65" t="s">
        <v>269</v>
      </c>
      <c r="C65" t="s">
        <v>270</v>
      </c>
      <c r="D65" t="s">
        <v>52</v>
      </c>
      <c r="E65" t="s">
        <v>74</v>
      </c>
      <c r="F65" t="s">
        <v>92</v>
      </c>
      <c r="G65">
        <v>4</v>
      </c>
      <c r="H65">
        <v>2.75</v>
      </c>
      <c r="I65">
        <v>11</v>
      </c>
      <c r="J65">
        <v>6.76</v>
      </c>
      <c r="K65">
        <v>4.24</v>
      </c>
      <c r="L65" t="s">
        <v>36</v>
      </c>
      <c r="M65" t="s">
        <v>29</v>
      </c>
      <c r="N65" t="s">
        <v>271</v>
      </c>
    </row>
    <row r="66" spans="1:14">
      <c r="A66" t="s">
        <v>272</v>
      </c>
      <c r="B66" t="s">
        <v>273</v>
      </c>
      <c r="C66" t="s">
        <v>274</v>
      </c>
      <c r="D66" t="s">
        <v>52</v>
      </c>
      <c r="E66" t="s">
        <v>18</v>
      </c>
      <c r="F66" t="s">
        <v>146</v>
      </c>
      <c r="G66">
        <v>4</v>
      </c>
      <c r="H66">
        <v>6.81</v>
      </c>
      <c r="I66">
        <v>27.24</v>
      </c>
      <c r="J66">
        <v>18.17</v>
      </c>
      <c r="K66">
        <v>9.07</v>
      </c>
      <c r="L66" t="s">
        <v>20</v>
      </c>
      <c r="M66" t="s">
        <v>29</v>
      </c>
      <c r="N66" t="s">
        <v>230</v>
      </c>
    </row>
    <row r="67" spans="1:14">
      <c r="A67" t="s">
        <v>275</v>
      </c>
      <c r="B67" t="s">
        <v>276</v>
      </c>
      <c r="C67" t="s">
        <v>277</v>
      </c>
      <c r="D67" t="s">
        <v>52</v>
      </c>
      <c r="E67" t="s">
        <v>18</v>
      </c>
      <c r="F67" t="s">
        <v>146</v>
      </c>
      <c r="G67">
        <v>1</v>
      </c>
      <c r="H67">
        <v>5.58</v>
      </c>
      <c r="I67">
        <v>5.58</v>
      </c>
      <c r="J67">
        <v>3.71</v>
      </c>
      <c r="K67">
        <v>1.87</v>
      </c>
      <c r="L67" t="s">
        <v>60</v>
      </c>
      <c r="M67" t="s">
        <v>54</v>
      </c>
      <c r="N67" t="s">
        <v>278</v>
      </c>
    </row>
    <row r="68" spans="1:14">
      <c r="A68" t="s">
        <v>279</v>
      </c>
      <c r="B68" t="s">
        <v>280</v>
      </c>
      <c r="C68" t="s">
        <v>281</v>
      </c>
      <c r="D68" t="s">
        <v>69</v>
      </c>
      <c r="E68" t="s">
        <v>27</v>
      </c>
      <c r="F68" t="s">
        <v>28</v>
      </c>
      <c r="G68">
        <v>1</v>
      </c>
      <c r="H68">
        <v>5.68</v>
      </c>
      <c r="I68">
        <v>5.68</v>
      </c>
      <c r="J68">
        <v>2.62</v>
      </c>
      <c r="K68">
        <v>3.06</v>
      </c>
      <c r="L68" t="s">
        <v>20</v>
      </c>
      <c r="M68" t="s">
        <v>54</v>
      </c>
      <c r="N68" t="s">
        <v>139</v>
      </c>
    </row>
    <row r="69" spans="1:14">
      <c r="A69" t="s">
        <v>282</v>
      </c>
      <c r="B69" t="s">
        <v>283</v>
      </c>
      <c r="C69" t="s">
        <v>284</v>
      </c>
      <c r="D69" t="s">
        <v>17</v>
      </c>
      <c r="E69" t="s">
        <v>27</v>
      </c>
      <c r="F69" t="s">
        <v>125</v>
      </c>
      <c r="G69">
        <v>2</v>
      </c>
      <c r="H69">
        <v>7.32</v>
      </c>
      <c r="I69">
        <v>14.64</v>
      </c>
      <c r="J69">
        <v>7.39</v>
      </c>
      <c r="K69">
        <v>7.25</v>
      </c>
      <c r="L69" t="s">
        <v>20</v>
      </c>
      <c r="M69" t="s">
        <v>29</v>
      </c>
      <c r="N69" t="s">
        <v>285</v>
      </c>
    </row>
    <row r="70" spans="1:14">
      <c r="A70" t="s">
        <v>286</v>
      </c>
      <c r="B70" t="s">
        <v>232</v>
      </c>
      <c r="C70" t="s">
        <v>237</v>
      </c>
      <c r="D70" t="s">
        <v>17</v>
      </c>
      <c r="E70" t="s">
        <v>27</v>
      </c>
      <c r="F70" t="s">
        <v>28</v>
      </c>
      <c r="G70">
        <v>4</v>
      </c>
      <c r="H70">
        <v>7.68</v>
      </c>
      <c r="I70">
        <v>30.72</v>
      </c>
      <c r="J70">
        <v>17.79</v>
      </c>
      <c r="K70">
        <v>12.93</v>
      </c>
      <c r="L70" t="s">
        <v>60</v>
      </c>
      <c r="M70" t="s">
        <v>54</v>
      </c>
      <c r="N70" t="s">
        <v>287</v>
      </c>
    </row>
    <row r="71" spans="1:14">
      <c r="A71" t="s">
        <v>288</v>
      </c>
      <c r="B71" t="s">
        <v>289</v>
      </c>
      <c r="C71" t="s">
        <v>290</v>
      </c>
      <c r="D71" t="s">
        <v>69</v>
      </c>
      <c r="E71" t="s">
        <v>34</v>
      </c>
      <c r="F71" t="s">
        <v>59</v>
      </c>
      <c r="G71">
        <v>5</v>
      </c>
      <c r="H71">
        <v>3.96</v>
      </c>
      <c r="I71">
        <v>19.8</v>
      </c>
      <c r="J71">
        <v>10.55</v>
      </c>
      <c r="K71">
        <v>9.25</v>
      </c>
      <c r="L71" t="s">
        <v>60</v>
      </c>
      <c r="M71" t="s">
        <v>54</v>
      </c>
      <c r="N71" t="s">
        <v>216</v>
      </c>
    </row>
    <row r="72" spans="1:14">
      <c r="A72" t="s">
        <v>291</v>
      </c>
      <c r="B72" t="s">
        <v>292</v>
      </c>
      <c r="C72" t="s">
        <v>293</v>
      </c>
      <c r="D72" t="s">
        <v>69</v>
      </c>
      <c r="E72" t="s">
        <v>18</v>
      </c>
      <c r="F72" t="s">
        <v>41</v>
      </c>
      <c r="G72">
        <v>2</v>
      </c>
      <c r="H72">
        <v>5.42</v>
      </c>
      <c r="I72">
        <v>10.84</v>
      </c>
      <c r="J72">
        <v>5.97</v>
      </c>
      <c r="K72">
        <v>4.87</v>
      </c>
      <c r="L72" t="s">
        <v>36</v>
      </c>
      <c r="M72" t="s">
        <v>21</v>
      </c>
      <c r="N72" t="s">
        <v>287</v>
      </c>
    </row>
    <row r="73" spans="1:14">
      <c r="A73" t="s">
        <v>294</v>
      </c>
      <c r="B73" t="s">
        <v>295</v>
      </c>
      <c r="C73" t="s">
        <v>296</v>
      </c>
      <c r="D73" t="s">
        <v>69</v>
      </c>
      <c r="E73" t="s">
        <v>18</v>
      </c>
      <c r="F73" t="s">
        <v>41</v>
      </c>
      <c r="G73">
        <v>3</v>
      </c>
      <c r="H73">
        <v>4.77</v>
      </c>
      <c r="I73">
        <v>14.31</v>
      </c>
      <c r="J73">
        <v>8.86</v>
      </c>
      <c r="K73">
        <v>5.45</v>
      </c>
      <c r="L73" t="s">
        <v>53</v>
      </c>
      <c r="M73" t="s">
        <v>21</v>
      </c>
      <c r="N73" t="s">
        <v>242</v>
      </c>
    </row>
    <row r="74" spans="1:14">
      <c r="A74" t="s">
        <v>297</v>
      </c>
      <c r="B74" t="s">
        <v>298</v>
      </c>
      <c r="C74" t="s">
        <v>299</v>
      </c>
      <c r="D74" t="s">
        <v>69</v>
      </c>
      <c r="E74" t="s">
        <v>74</v>
      </c>
      <c r="F74" t="s">
        <v>83</v>
      </c>
      <c r="G74">
        <v>4</v>
      </c>
      <c r="H74">
        <v>7.05</v>
      </c>
      <c r="I74">
        <v>28.2</v>
      </c>
      <c r="J74">
        <v>13.77</v>
      </c>
      <c r="K74">
        <v>14.43</v>
      </c>
      <c r="L74" t="s">
        <v>36</v>
      </c>
      <c r="M74" t="s">
        <v>54</v>
      </c>
      <c r="N74" t="s">
        <v>97</v>
      </c>
    </row>
    <row r="75" spans="1:14">
      <c r="A75" t="s">
        <v>300</v>
      </c>
      <c r="B75" t="s">
        <v>301</v>
      </c>
      <c r="C75" t="s">
        <v>302</v>
      </c>
      <c r="D75" t="s">
        <v>46</v>
      </c>
      <c r="E75" t="s">
        <v>27</v>
      </c>
      <c r="F75" t="s">
        <v>125</v>
      </c>
      <c r="G75">
        <v>4</v>
      </c>
      <c r="H75">
        <v>5.16</v>
      </c>
      <c r="I75">
        <v>20.64</v>
      </c>
      <c r="J75">
        <v>12.53</v>
      </c>
      <c r="K75">
        <v>8.11</v>
      </c>
      <c r="L75" t="s">
        <v>20</v>
      </c>
      <c r="M75" t="s">
        <v>54</v>
      </c>
      <c r="N75" t="s">
        <v>303</v>
      </c>
    </row>
    <row r="76" spans="1:14">
      <c r="A76" t="s">
        <v>304</v>
      </c>
      <c r="B76" t="s">
        <v>305</v>
      </c>
      <c r="C76" t="s">
        <v>306</v>
      </c>
      <c r="D76" t="s">
        <v>46</v>
      </c>
      <c r="E76" t="s">
        <v>18</v>
      </c>
      <c r="F76" t="s">
        <v>41</v>
      </c>
      <c r="G76">
        <v>1</v>
      </c>
      <c r="H76">
        <v>2.86</v>
      </c>
      <c r="I76">
        <v>2.86</v>
      </c>
      <c r="J76">
        <v>1.67</v>
      </c>
      <c r="K76">
        <v>1.19</v>
      </c>
      <c r="L76" t="s">
        <v>53</v>
      </c>
      <c r="M76" t="s">
        <v>54</v>
      </c>
      <c r="N76" t="s">
        <v>42</v>
      </c>
    </row>
    <row r="77" spans="1:14">
      <c r="A77" t="s">
        <v>307</v>
      </c>
      <c r="B77" t="s">
        <v>308</v>
      </c>
      <c r="C77" t="s">
        <v>309</v>
      </c>
      <c r="D77" t="s">
        <v>26</v>
      </c>
      <c r="E77" t="s">
        <v>74</v>
      </c>
      <c r="F77" t="s">
        <v>83</v>
      </c>
      <c r="G77">
        <v>3</v>
      </c>
      <c r="H77">
        <v>7.13</v>
      </c>
      <c r="I77">
        <v>21.39</v>
      </c>
      <c r="J77">
        <v>13.34</v>
      </c>
      <c r="K77">
        <v>8.05</v>
      </c>
      <c r="L77" t="s">
        <v>36</v>
      </c>
      <c r="M77" t="s">
        <v>29</v>
      </c>
      <c r="N77" t="s">
        <v>287</v>
      </c>
    </row>
    <row r="78" spans="1:14">
      <c r="A78" t="s">
        <v>310</v>
      </c>
      <c r="B78" t="s">
        <v>167</v>
      </c>
      <c r="C78" t="s">
        <v>311</v>
      </c>
      <c r="D78" t="s">
        <v>26</v>
      </c>
      <c r="E78" t="s">
        <v>27</v>
      </c>
      <c r="F78" t="s">
        <v>70</v>
      </c>
      <c r="G78">
        <v>2</v>
      </c>
      <c r="H78">
        <v>5.54</v>
      </c>
      <c r="I78">
        <v>11.08</v>
      </c>
      <c r="J78">
        <v>7.74</v>
      </c>
      <c r="K78">
        <v>3.34</v>
      </c>
      <c r="L78" t="s">
        <v>20</v>
      </c>
      <c r="M78" t="s">
        <v>29</v>
      </c>
      <c r="N78" t="s">
        <v>312</v>
      </c>
    </row>
    <row r="79" spans="1:14">
      <c r="A79" t="s">
        <v>313</v>
      </c>
      <c r="B79" t="s">
        <v>314</v>
      </c>
      <c r="C79" t="s">
        <v>315</v>
      </c>
      <c r="D79" t="s">
        <v>46</v>
      </c>
      <c r="E79" t="s">
        <v>27</v>
      </c>
      <c r="F79" t="s">
        <v>70</v>
      </c>
      <c r="G79">
        <v>5</v>
      </c>
      <c r="H79">
        <v>5.27</v>
      </c>
      <c r="I79">
        <v>26.35</v>
      </c>
      <c r="J79">
        <v>12.06</v>
      </c>
      <c r="K79">
        <v>14.29</v>
      </c>
      <c r="L79" t="s">
        <v>20</v>
      </c>
      <c r="M79" t="s">
        <v>29</v>
      </c>
      <c r="N79" t="s">
        <v>287</v>
      </c>
    </row>
    <row r="80" spans="1:14">
      <c r="A80" t="s">
        <v>316</v>
      </c>
      <c r="B80" t="s">
        <v>317</v>
      </c>
      <c r="C80" t="s">
        <v>318</v>
      </c>
      <c r="D80" t="s">
        <v>26</v>
      </c>
      <c r="E80" t="s">
        <v>18</v>
      </c>
      <c r="F80" t="s">
        <v>146</v>
      </c>
      <c r="G80">
        <v>5</v>
      </c>
      <c r="H80">
        <v>7.14</v>
      </c>
      <c r="I80">
        <v>35.7</v>
      </c>
      <c r="J80">
        <v>17.34</v>
      </c>
      <c r="K80">
        <v>18.36</v>
      </c>
      <c r="L80" t="s">
        <v>60</v>
      </c>
      <c r="M80" t="s">
        <v>54</v>
      </c>
      <c r="N80" t="s">
        <v>147</v>
      </c>
    </row>
    <row r="81" spans="1:14">
      <c r="A81" t="s">
        <v>319</v>
      </c>
      <c r="B81" t="s">
        <v>320</v>
      </c>
      <c r="C81" t="s">
        <v>321</v>
      </c>
      <c r="D81" t="s">
        <v>46</v>
      </c>
      <c r="E81" t="s">
        <v>74</v>
      </c>
      <c r="F81" t="s">
        <v>75</v>
      </c>
      <c r="G81">
        <v>2</v>
      </c>
      <c r="H81">
        <v>5.05</v>
      </c>
      <c r="I81">
        <v>10.1</v>
      </c>
      <c r="J81">
        <v>5.46</v>
      </c>
      <c r="K81">
        <v>4.64</v>
      </c>
      <c r="L81" t="s">
        <v>20</v>
      </c>
      <c r="M81" t="s">
        <v>21</v>
      </c>
      <c r="N81" t="s">
        <v>322</v>
      </c>
    </row>
    <row r="82" spans="1:14">
      <c r="A82" t="s">
        <v>323</v>
      </c>
      <c r="B82" t="s">
        <v>324</v>
      </c>
      <c r="C82" t="s">
        <v>325</v>
      </c>
      <c r="D82" t="s">
        <v>69</v>
      </c>
      <c r="E82" t="s">
        <v>18</v>
      </c>
      <c r="F82" t="s">
        <v>41</v>
      </c>
      <c r="G82">
        <v>4</v>
      </c>
      <c r="H82">
        <v>3.88</v>
      </c>
      <c r="I82">
        <v>15.52</v>
      </c>
      <c r="J82">
        <v>10.04</v>
      </c>
      <c r="K82">
        <v>5.48</v>
      </c>
      <c r="L82" t="s">
        <v>36</v>
      </c>
      <c r="M82" t="s">
        <v>21</v>
      </c>
      <c r="N82" t="s">
        <v>326</v>
      </c>
    </row>
    <row r="83" spans="1:14">
      <c r="A83" t="s">
        <v>327</v>
      </c>
      <c r="B83" t="s">
        <v>328</v>
      </c>
      <c r="C83" t="s">
        <v>329</v>
      </c>
      <c r="D83" t="s">
        <v>26</v>
      </c>
      <c r="E83" t="s">
        <v>34</v>
      </c>
      <c r="F83" t="s">
        <v>135</v>
      </c>
      <c r="G83">
        <v>1</v>
      </c>
      <c r="H83">
        <v>2.6</v>
      </c>
      <c r="I83">
        <v>2.6</v>
      </c>
      <c r="J83">
        <v>1.37</v>
      </c>
      <c r="K83">
        <v>1.23</v>
      </c>
      <c r="L83" t="s">
        <v>36</v>
      </c>
      <c r="M83" t="s">
        <v>54</v>
      </c>
      <c r="N83" t="s">
        <v>114</v>
      </c>
    </row>
    <row r="84" spans="1:14">
      <c r="A84" t="s">
        <v>330</v>
      </c>
      <c r="B84" t="s">
        <v>225</v>
      </c>
      <c r="C84" t="s">
        <v>331</v>
      </c>
      <c r="D84" t="s">
        <v>17</v>
      </c>
      <c r="E84" t="s">
        <v>34</v>
      </c>
      <c r="F84" t="s">
        <v>59</v>
      </c>
      <c r="G84">
        <v>2</v>
      </c>
      <c r="H84">
        <v>3.93</v>
      </c>
      <c r="I84">
        <v>7.86</v>
      </c>
      <c r="J84">
        <v>4.2</v>
      </c>
      <c r="K84">
        <v>3.66</v>
      </c>
      <c r="L84" t="s">
        <v>20</v>
      </c>
      <c r="M84" t="s">
        <v>54</v>
      </c>
      <c r="N84" t="s">
        <v>261</v>
      </c>
    </row>
    <row r="85" spans="1:14">
      <c r="A85" t="s">
        <v>332</v>
      </c>
      <c r="B85" t="s">
        <v>333</v>
      </c>
      <c r="C85" t="s">
        <v>334</v>
      </c>
      <c r="D85" t="s">
        <v>26</v>
      </c>
      <c r="E85" t="s">
        <v>34</v>
      </c>
      <c r="F85" t="s">
        <v>47</v>
      </c>
      <c r="G85">
        <v>3</v>
      </c>
      <c r="H85">
        <v>3.57</v>
      </c>
      <c r="I85">
        <v>10.71</v>
      </c>
      <c r="J85">
        <v>6.96</v>
      </c>
      <c r="K85">
        <v>3.75</v>
      </c>
      <c r="L85" t="s">
        <v>53</v>
      </c>
      <c r="M85" t="s">
        <v>21</v>
      </c>
      <c r="N85" t="s">
        <v>326</v>
      </c>
    </row>
    <row r="86" spans="1:14">
      <c r="A86" t="s">
        <v>335</v>
      </c>
      <c r="B86" t="s">
        <v>336</v>
      </c>
      <c r="C86" t="s">
        <v>337</v>
      </c>
      <c r="D86" t="s">
        <v>46</v>
      </c>
      <c r="E86" t="s">
        <v>34</v>
      </c>
      <c r="F86" t="s">
        <v>130</v>
      </c>
      <c r="G86">
        <v>3</v>
      </c>
      <c r="H86">
        <v>3.67</v>
      </c>
      <c r="I86">
        <v>11.01</v>
      </c>
      <c r="J86">
        <v>6.8</v>
      </c>
      <c r="K86">
        <v>4.21</v>
      </c>
      <c r="L86" t="s">
        <v>36</v>
      </c>
      <c r="M86" t="s">
        <v>54</v>
      </c>
      <c r="N86" t="s">
        <v>79</v>
      </c>
    </row>
    <row r="87" spans="1:14">
      <c r="A87" t="s">
        <v>338</v>
      </c>
      <c r="B87" t="s">
        <v>339</v>
      </c>
      <c r="C87" t="s">
        <v>340</v>
      </c>
      <c r="D87" t="s">
        <v>69</v>
      </c>
      <c r="E87" t="s">
        <v>74</v>
      </c>
      <c r="F87" t="s">
        <v>92</v>
      </c>
      <c r="G87">
        <v>3</v>
      </c>
      <c r="H87">
        <v>3.49</v>
      </c>
      <c r="I87">
        <v>10.47</v>
      </c>
      <c r="J87">
        <v>6.23</v>
      </c>
      <c r="K87">
        <v>4.24</v>
      </c>
      <c r="L87" t="s">
        <v>20</v>
      </c>
      <c r="M87" t="s">
        <v>21</v>
      </c>
      <c r="N87" t="s">
        <v>209</v>
      </c>
    </row>
    <row r="88" spans="1:14">
      <c r="A88" t="s">
        <v>341</v>
      </c>
      <c r="B88" t="s">
        <v>342</v>
      </c>
      <c r="C88" t="s">
        <v>343</v>
      </c>
      <c r="D88" t="s">
        <v>17</v>
      </c>
      <c r="E88" t="s">
        <v>74</v>
      </c>
      <c r="F88" t="s">
        <v>83</v>
      </c>
      <c r="G88">
        <v>5</v>
      </c>
      <c r="H88">
        <v>7.19</v>
      </c>
      <c r="I88">
        <v>35.95</v>
      </c>
      <c r="J88">
        <v>21.79</v>
      </c>
      <c r="K88">
        <v>14.16</v>
      </c>
      <c r="L88" t="s">
        <v>36</v>
      </c>
      <c r="M88" t="s">
        <v>29</v>
      </c>
      <c r="N88" t="s">
        <v>37</v>
      </c>
    </row>
    <row r="89" spans="1:14">
      <c r="A89" t="s">
        <v>344</v>
      </c>
      <c r="B89" t="s">
        <v>63</v>
      </c>
      <c r="C89" t="s">
        <v>345</v>
      </c>
      <c r="D89" t="s">
        <v>26</v>
      </c>
      <c r="E89" t="s">
        <v>34</v>
      </c>
      <c r="F89" t="s">
        <v>35</v>
      </c>
      <c r="G89">
        <v>4</v>
      </c>
      <c r="H89">
        <v>5.53</v>
      </c>
      <c r="I89">
        <v>22.12</v>
      </c>
      <c r="J89">
        <v>12.3</v>
      </c>
      <c r="K89">
        <v>9.82</v>
      </c>
      <c r="L89" t="s">
        <v>53</v>
      </c>
      <c r="M89" t="s">
        <v>54</v>
      </c>
      <c r="N89" t="s">
        <v>216</v>
      </c>
    </row>
    <row r="90" spans="1:14">
      <c r="A90" t="s">
        <v>346</v>
      </c>
      <c r="B90" t="s">
        <v>347</v>
      </c>
      <c r="C90" t="s">
        <v>348</v>
      </c>
      <c r="D90" t="s">
        <v>52</v>
      </c>
      <c r="E90" t="s">
        <v>27</v>
      </c>
      <c r="F90" t="s">
        <v>169</v>
      </c>
      <c r="G90">
        <v>4</v>
      </c>
      <c r="H90">
        <v>4.14</v>
      </c>
      <c r="I90">
        <v>16.56</v>
      </c>
      <c r="J90">
        <v>9.66</v>
      </c>
      <c r="K90">
        <v>6.9</v>
      </c>
      <c r="L90" t="s">
        <v>20</v>
      </c>
      <c r="M90" t="s">
        <v>21</v>
      </c>
      <c r="N90" t="s">
        <v>209</v>
      </c>
    </row>
    <row r="91" spans="1:14">
      <c r="A91" t="s">
        <v>349</v>
      </c>
      <c r="B91" t="s">
        <v>350</v>
      </c>
      <c r="C91" t="s">
        <v>351</v>
      </c>
      <c r="D91" t="s">
        <v>17</v>
      </c>
      <c r="E91" t="s">
        <v>18</v>
      </c>
      <c r="F91" t="s">
        <v>19</v>
      </c>
      <c r="G91">
        <v>4</v>
      </c>
      <c r="H91">
        <v>3.96</v>
      </c>
      <c r="I91">
        <v>15.84</v>
      </c>
      <c r="J91">
        <v>11.04</v>
      </c>
      <c r="K91">
        <v>4.8</v>
      </c>
      <c r="L91" t="s">
        <v>60</v>
      </c>
      <c r="M91" t="s">
        <v>29</v>
      </c>
      <c r="N91" t="s">
        <v>352</v>
      </c>
    </row>
    <row r="92" spans="1:14">
      <c r="A92" t="s">
        <v>353</v>
      </c>
      <c r="B92" t="s">
        <v>354</v>
      </c>
      <c r="C92" t="s">
        <v>355</v>
      </c>
      <c r="D92" t="s">
        <v>17</v>
      </c>
      <c r="E92" t="s">
        <v>74</v>
      </c>
      <c r="F92" t="s">
        <v>75</v>
      </c>
      <c r="G92">
        <v>5</v>
      </c>
      <c r="H92">
        <v>3.13</v>
      </c>
      <c r="I92">
        <v>15.65</v>
      </c>
      <c r="J92">
        <v>9.92</v>
      </c>
      <c r="K92">
        <v>5.73</v>
      </c>
      <c r="L92" t="s">
        <v>53</v>
      </c>
      <c r="M92" t="s">
        <v>54</v>
      </c>
      <c r="N92" t="s">
        <v>223</v>
      </c>
    </row>
    <row r="93" spans="1:14">
      <c r="A93" t="s">
        <v>356</v>
      </c>
      <c r="B93" t="s">
        <v>357</v>
      </c>
      <c r="C93" t="s">
        <v>358</v>
      </c>
      <c r="D93" t="s">
        <v>46</v>
      </c>
      <c r="E93" t="s">
        <v>74</v>
      </c>
      <c r="F93" t="s">
        <v>83</v>
      </c>
      <c r="G93">
        <v>5</v>
      </c>
      <c r="H93">
        <v>4.82</v>
      </c>
      <c r="I93">
        <v>24.1</v>
      </c>
      <c r="J93">
        <v>13.77</v>
      </c>
      <c r="K93">
        <v>10.33</v>
      </c>
      <c r="L93" t="s">
        <v>36</v>
      </c>
      <c r="M93" t="s">
        <v>29</v>
      </c>
      <c r="N93" t="s">
        <v>174</v>
      </c>
    </row>
    <row r="94" spans="1:14">
      <c r="A94" t="s">
        <v>359</v>
      </c>
      <c r="B94" t="s">
        <v>360</v>
      </c>
      <c r="C94" t="s">
        <v>361</v>
      </c>
      <c r="D94" t="s">
        <v>69</v>
      </c>
      <c r="E94" t="s">
        <v>34</v>
      </c>
      <c r="F94" t="s">
        <v>59</v>
      </c>
      <c r="G94">
        <v>3</v>
      </c>
      <c r="H94">
        <v>4.48</v>
      </c>
      <c r="I94">
        <v>13.44</v>
      </c>
      <c r="J94">
        <v>8.33</v>
      </c>
      <c r="K94">
        <v>5.11</v>
      </c>
      <c r="L94" t="s">
        <v>60</v>
      </c>
      <c r="M94" t="s">
        <v>54</v>
      </c>
      <c r="N94" t="s">
        <v>147</v>
      </c>
    </row>
    <row r="95" spans="1:14">
      <c r="A95" t="s">
        <v>362</v>
      </c>
      <c r="B95" t="s">
        <v>363</v>
      </c>
      <c r="C95" t="s">
        <v>364</v>
      </c>
      <c r="D95" t="s">
        <v>46</v>
      </c>
      <c r="E95" t="s">
        <v>18</v>
      </c>
      <c r="F95" t="s">
        <v>146</v>
      </c>
      <c r="G95">
        <v>2</v>
      </c>
      <c r="H95">
        <v>3.9</v>
      </c>
      <c r="I95">
        <v>7.8</v>
      </c>
      <c r="J95">
        <v>3.99</v>
      </c>
      <c r="K95">
        <v>3.81</v>
      </c>
      <c r="L95" t="s">
        <v>36</v>
      </c>
      <c r="M95" t="s">
        <v>54</v>
      </c>
      <c r="N95" t="s">
        <v>365</v>
      </c>
    </row>
    <row r="96" spans="1:14">
      <c r="A96" t="s">
        <v>366</v>
      </c>
      <c r="B96" t="s">
        <v>218</v>
      </c>
      <c r="C96" t="s">
        <v>367</v>
      </c>
      <c r="D96" t="s">
        <v>46</v>
      </c>
      <c r="E96" t="s">
        <v>18</v>
      </c>
      <c r="F96" t="s">
        <v>19</v>
      </c>
      <c r="G96">
        <v>1</v>
      </c>
      <c r="H96">
        <v>5.64</v>
      </c>
      <c r="I96">
        <v>5.64</v>
      </c>
      <c r="J96">
        <v>3.82</v>
      </c>
      <c r="K96">
        <v>1.82</v>
      </c>
      <c r="L96" t="s">
        <v>60</v>
      </c>
      <c r="M96" t="s">
        <v>21</v>
      </c>
      <c r="N96" t="s">
        <v>368</v>
      </c>
    </row>
    <row r="97" spans="1:14">
      <c r="A97" t="s">
        <v>369</v>
      </c>
      <c r="B97" t="s">
        <v>269</v>
      </c>
      <c r="C97" t="s">
        <v>370</v>
      </c>
      <c r="D97" t="s">
        <v>46</v>
      </c>
      <c r="E97" t="s">
        <v>27</v>
      </c>
      <c r="F97" t="s">
        <v>70</v>
      </c>
      <c r="G97">
        <v>2</v>
      </c>
      <c r="H97">
        <v>3.55</v>
      </c>
      <c r="I97">
        <v>7.1</v>
      </c>
      <c r="J97">
        <v>3.36</v>
      </c>
      <c r="K97">
        <v>3.74</v>
      </c>
      <c r="L97" t="s">
        <v>36</v>
      </c>
      <c r="M97" t="s">
        <v>29</v>
      </c>
      <c r="N97" t="s">
        <v>174</v>
      </c>
    </row>
    <row r="98" spans="1:14">
      <c r="A98" t="s">
        <v>371</v>
      </c>
      <c r="B98" t="s">
        <v>160</v>
      </c>
      <c r="C98" t="s">
        <v>372</v>
      </c>
      <c r="D98" t="s">
        <v>26</v>
      </c>
      <c r="E98" t="s">
        <v>74</v>
      </c>
      <c r="F98" t="s">
        <v>75</v>
      </c>
      <c r="G98">
        <v>1</v>
      </c>
      <c r="H98">
        <v>6.98</v>
      </c>
      <c r="I98">
        <v>6.98</v>
      </c>
      <c r="J98">
        <v>3.73</v>
      </c>
      <c r="K98">
        <v>3.25</v>
      </c>
      <c r="L98" t="s">
        <v>36</v>
      </c>
      <c r="M98" t="s">
        <v>21</v>
      </c>
      <c r="N98" t="s">
        <v>373</v>
      </c>
    </row>
    <row r="99" spans="1:14">
      <c r="A99" t="s">
        <v>374</v>
      </c>
      <c r="B99" t="s">
        <v>375</v>
      </c>
      <c r="C99" t="s">
        <v>376</v>
      </c>
      <c r="D99" t="s">
        <v>17</v>
      </c>
      <c r="E99" t="s">
        <v>74</v>
      </c>
      <c r="F99" t="s">
        <v>92</v>
      </c>
      <c r="G99">
        <v>3</v>
      </c>
      <c r="H99">
        <v>5.18</v>
      </c>
      <c r="I99">
        <v>15.54</v>
      </c>
      <c r="J99">
        <v>8.77</v>
      </c>
      <c r="K99">
        <v>6.77</v>
      </c>
      <c r="L99" t="s">
        <v>20</v>
      </c>
      <c r="M99" t="s">
        <v>21</v>
      </c>
      <c r="N99" t="s">
        <v>377</v>
      </c>
    </row>
    <row r="100" spans="1:14">
      <c r="A100" t="s">
        <v>378</v>
      </c>
      <c r="B100" t="s">
        <v>379</v>
      </c>
      <c r="C100" t="s">
        <v>380</v>
      </c>
      <c r="D100" t="s">
        <v>69</v>
      </c>
      <c r="E100" t="s">
        <v>74</v>
      </c>
      <c r="F100" t="s">
        <v>83</v>
      </c>
      <c r="G100">
        <v>3</v>
      </c>
      <c r="H100">
        <v>5.49</v>
      </c>
      <c r="I100">
        <v>16.47</v>
      </c>
      <c r="J100">
        <v>11.16</v>
      </c>
      <c r="K100">
        <v>5.31</v>
      </c>
      <c r="L100" t="s">
        <v>36</v>
      </c>
      <c r="M100" t="s">
        <v>21</v>
      </c>
      <c r="N100" t="s">
        <v>381</v>
      </c>
    </row>
    <row r="101" spans="1:14">
      <c r="A101" t="s">
        <v>382</v>
      </c>
      <c r="B101" t="s">
        <v>375</v>
      </c>
      <c r="C101" t="s">
        <v>383</v>
      </c>
      <c r="D101" t="s">
        <v>69</v>
      </c>
      <c r="E101" t="s">
        <v>74</v>
      </c>
      <c r="F101" t="s">
        <v>92</v>
      </c>
      <c r="G101">
        <v>3</v>
      </c>
      <c r="H101">
        <v>5.81</v>
      </c>
      <c r="I101">
        <v>17.43</v>
      </c>
      <c r="J101">
        <v>10.02</v>
      </c>
      <c r="K101">
        <v>7.41</v>
      </c>
      <c r="L101" t="s">
        <v>36</v>
      </c>
      <c r="M101" t="s">
        <v>29</v>
      </c>
      <c r="N101" t="s">
        <v>384</v>
      </c>
    </row>
    <row r="102" spans="1:14">
      <c r="A102" t="s">
        <v>385</v>
      </c>
      <c r="B102" t="s">
        <v>386</v>
      </c>
      <c r="C102" t="s">
        <v>387</v>
      </c>
      <c r="D102" t="s">
        <v>52</v>
      </c>
      <c r="E102" t="s">
        <v>27</v>
      </c>
      <c r="F102" t="s">
        <v>169</v>
      </c>
      <c r="G102">
        <v>1</v>
      </c>
      <c r="H102">
        <v>6.9</v>
      </c>
      <c r="I102">
        <v>6.9</v>
      </c>
      <c r="J102">
        <v>4.51</v>
      </c>
      <c r="K102">
        <v>2.39</v>
      </c>
      <c r="L102" t="s">
        <v>20</v>
      </c>
      <c r="M102" t="s">
        <v>29</v>
      </c>
      <c r="N102" t="s">
        <v>48</v>
      </c>
    </row>
    <row r="103" spans="1:14">
      <c r="A103" t="s">
        <v>388</v>
      </c>
      <c r="B103" t="s">
        <v>389</v>
      </c>
      <c r="C103" t="s">
        <v>390</v>
      </c>
      <c r="D103" t="s">
        <v>46</v>
      </c>
      <c r="E103" t="s">
        <v>74</v>
      </c>
      <c r="F103" t="s">
        <v>75</v>
      </c>
      <c r="G103">
        <v>5</v>
      </c>
      <c r="H103">
        <v>6.62</v>
      </c>
      <c r="I103">
        <v>33.1</v>
      </c>
      <c r="J103">
        <v>18.88</v>
      </c>
      <c r="K103">
        <v>14.22</v>
      </c>
      <c r="L103" t="s">
        <v>36</v>
      </c>
      <c r="M103" t="s">
        <v>21</v>
      </c>
      <c r="N103" t="s">
        <v>368</v>
      </c>
    </row>
    <row r="104" spans="1:14">
      <c r="A104" t="s">
        <v>391</v>
      </c>
      <c r="B104" t="s">
        <v>392</v>
      </c>
      <c r="C104" t="s">
        <v>393</v>
      </c>
      <c r="D104" t="s">
        <v>69</v>
      </c>
      <c r="E104" t="s">
        <v>18</v>
      </c>
      <c r="F104" t="s">
        <v>41</v>
      </c>
      <c r="G104">
        <v>1</v>
      </c>
      <c r="H104">
        <v>5.3</v>
      </c>
      <c r="I104">
        <v>5.3</v>
      </c>
      <c r="J104">
        <v>2.51</v>
      </c>
      <c r="K104">
        <v>2.79</v>
      </c>
      <c r="L104" t="s">
        <v>53</v>
      </c>
      <c r="M104" t="s">
        <v>54</v>
      </c>
      <c r="N104" t="s">
        <v>223</v>
      </c>
    </row>
    <row r="105" spans="1:14">
      <c r="A105" t="s">
        <v>394</v>
      </c>
      <c r="B105" t="s">
        <v>395</v>
      </c>
      <c r="C105" t="s">
        <v>396</v>
      </c>
      <c r="D105" t="s">
        <v>52</v>
      </c>
      <c r="E105" t="s">
        <v>34</v>
      </c>
      <c r="F105" t="s">
        <v>130</v>
      </c>
      <c r="G105">
        <v>4</v>
      </c>
      <c r="H105">
        <v>5.41</v>
      </c>
      <c r="I105">
        <v>21.64</v>
      </c>
      <c r="J105">
        <v>13.59</v>
      </c>
      <c r="K105">
        <v>8.05</v>
      </c>
      <c r="L105" t="s">
        <v>20</v>
      </c>
      <c r="M105" t="s">
        <v>21</v>
      </c>
      <c r="N105" t="s">
        <v>397</v>
      </c>
    </row>
    <row r="106" spans="1:14">
      <c r="A106" t="s">
        <v>398</v>
      </c>
      <c r="B106" t="s">
        <v>399</v>
      </c>
      <c r="C106" t="s">
        <v>400</v>
      </c>
      <c r="D106" t="s">
        <v>17</v>
      </c>
      <c r="E106" t="s">
        <v>18</v>
      </c>
      <c r="F106" t="s">
        <v>19</v>
      </c>
      <c r="G106">
        <v>4</v>
      </c>
      <c r="H106">
        <v>3.66</v>
      </c>
      <c r="I106">
        <v>14.64</v>
      </c>
      <c r="J106">
        <v>8.93</v>
      </c>
      <c r="K106">
        <v>5.71</v>
      </c>
      <c r="L106" t="s">
        <v>53</v>
      </c>
      <c r="M106" t="s">
        <v>21</v>
      </c>
      <c r="N106" t="s">
        <v>401</v>
      </c>
    </row>
    <row r="107" spans="1:14">
      <c r="A107" t="s">
        <v>402</v>
      </c>
      <c r="B107" t="s">
        <v>314</v>
      </c>
      <c r="C107" t="s">
        <v>403</v>
      </c>
      <c r="D107" t="s">
        <v>17</v>
      </c>
      <c r="E107" t="s">
        <v>74</v>
      </c>
      <c r="F107" t="s">
        <v>75</v>
      </c>
      <c r="G107">
        <v>1</v>
      </c>
      <c r="H107">
        <v>4.54</v>
      </c>
      <c r="I107">
        <v>4.54</v>
      </c>
      <c r="J107">
        <v>2.59</v>
      </c>
      <c r="K107">
        <v>1.95</v>
      </c>
      <c r="L107" t="s">
        <v>20</v>
      </c>
      <c r="M107" t="s">
        <v>54</v>
      </c>
      <c r="N107" t="s">
        <v>131</v>
      </c>
    </row>
    <row r="108" spans="1:14">
      <c r="A108" t="s">
        <v>404</v>
      </c>
      <c r="B108" t="s">
        <v>405</v>
      </c>
      <c r="C108" t="s">
        <v>406</v>
      </c>
      <c r="D108" t="s">
        <v>26</v>
      </c>
      <c r="E108" t="s">
        <v>74</v>
      </c>
      <c r="F108" t="s">
        <v>75</v>
      </c>
      <c r="G108">
        <v>3</v>
      </c>
      <c r="H108">
        <v>5.29</v>
      </c>
      <c r="I108">
        <v>15.87</v>
      </c>
      <c r="J108">
        <v>8.38</v>
      </c>
      <c r="K108">
        <v>7.49</v>
      </c>
      <c r="L108" t="s">
        <v>20</v>
      </c>
      <c r="M108" t="s">
        <v>54</v>
      </c>
      <c r="N108" t="s">
        <v>84</v>
      </c>
    </row>
    <row r="109" spans="1:14">
      <c r="A109" t="s">
        <v>407</v>
      </c>
      <c r="B109" t="s">
        <v>408</v>
      </c>
      <c r="C109" t="s">
        <v>409</v>
      </c>
      <c r="D109" t="s">
        <v>46</v>
      </c>
      <c r="E109" t="s">
        <v>74</v>
      </c>
      <c r="F109" t="s">
        <v>75</v>
      </c>
      <c r="G109">
        <v>5</v>
      </c>
      <c r="H109">
        <v>7.49</v>
      </c>
      <c r="I109">
        <v>37.45</v>
      </c>
      <c r="J109">
        <v>22.33</v>
      </c>
      <c r="K109">
        <v>15.12</v>
      </c>
      <c r="L109" t="s">
        <v>60</v>
      </c>
      <c r="M109" t="s">
        <v>29</v>
      </c>
      <c r="N109" t="s">
        <v>410</v>
      </c>
    </row>
    <row r="110" spans="1:14">
      <c r="A110" t="s">
        <v>411</v>
      </c>
      <c r="B110" t="s">
        <v>412</v>
      </c>
      <c r="C110" t="s">
        <v>413</v>
      </c>
      <c r="D110" t="s">
        <v>52</v>
      </c>
      <c r="E110" t="s">
        <v>34</v>
      </c>
      <c r="F110" t="s">
        <v>135</v>
      </c>
      <c r="G110">
        <v>4</v>
      </c>
      <c r="H110">
        <v>7.62</v>
      </c>
      <c r="I110">
        <v>30.48</v>
      </c>
      <c r="J110">
        <v>20.25</v>
      </c>
      <c r="K110">
        <v>10.23</v>
      </c>
      <c r="L110" t="s">
        <v>20</v>
      </c>
      <c r="M110" t="s">
        <v>29</v>
      </c>
      <c r="N110" t="s">
        <v>303</v>
      </c>
    </row>
    <row r="111" spans="1:14">
      <c r="A111" t="s">
        <v>414</v>
      </c>
      <c r="B111" t="s">
        <v>415</v>
      </c>
      <c r="C111" t="s">
        <v>416</v>
      </c>
      <c r="D111" t="s">
        <v>17</v>
      </c>
      <c r="E111" t="s">
        <v>34</v>
      </c>
      <c r="F111" t="s">
        <v>130</v>
      </c>
      <c r="G111">
        <v>4</v>
      </c>
      <c r="H111">
        <v>5.28</v>
      </c>
      <c r="I111">
        <v>21.12</v>
      </c>
      <c r="J111">
        <v>9.73</v>
      </c>
      <c r="K111">
        <v>11.39</v>
      </c>
      <c r="L111" t="s">
        <v>36</v>
      </c>
      <c r="M111" t="s">
        <v>29</v>
      </c>
      <c r="N111" t="s">
        <v>368</v>
      </c>
    </row>
    <row r="112" spans="1:14">
      <c r="A112" t="s">
        <v>417</v>
      </c>
      <c r="B112" t="s">
        <v>418</v>
      </c>
      <c r="C112" t="s">
        <v>419</v>
      </c>
      <c r="D112" t="s">
        <v>52</v>
      </c>
      <c r="E112" t="s">
        <v>27</v>
      </c>
      <c r="F112" t="s">
        <v>70</v>
      </c>
      <c r="G112">
        <v>4</v>
      </c>
      <c r="H112">
        <v>4.2</v>
      </c>
      <c r="I112">
        <v>16.8</v>
      </c>
      <c r="J112">
        <v>11.23</v>
      </c>
      <c r="K112">
        <v>5.57</v>
      </c>
      <c r="L112" t="s">
        <v>20</v>
      </c>
      <c r="M112" t="s">
        <v>54</v>
      </c>
      <c r="N112" t="s">
        <v>170</v>
      </c>
    </row>
    <row r="113" spans="1:14">
      <c r="A113" t="s">
        <v>420</v>
      </c>
      <c r="B113" t="s">
        <v>90</v>
      </c>
      <c r="C113" t="s">
        <v>421</v>
      </c>
      <c r="D113" t="s">
        <v>69</v>
      </c>
      <c r="E113" t="s">
        <v>74</v>
      </c>
      <c r="F113" t="s">
        <v>75</v>
      </c>
      <c r="G113">
        <v>2</v>
      </c>
      <c r="H113">
        <v>6.29</v>
      </c>
      <c r="I113">
        <v>12.58</v>
      </c>
      <c r="J113">
        <v>6.39</v>
      </c>
      <c r="K113">
        <v>6.19</v>
      </c>
      <c r="L113" t="s">
        <v>60</v>
      </c>
      <c r="M113" t="s">
        <v>54</v>
      </c>
      <c r="N113" t="s">
        <v>422</v>
      </c>
    </row>
    <row r="114" spans="1:14">
      <c r="A114" t="s">
        <v>423</v>
      </c>
      <c r="B114" t="s">
        <v>389</v>
      </c>
      <c r="C114" t="s">
        <v>424</v>
      </c>
      <c r="D114" t="s">
        <v>26</v>
      </c>
      <c r="E114" t="s">
        <v>34</v>
      </c>
      <c r="F114" t="s">
        <v>130</v>
      </c>
      <c r="G114">
        <v>5</v>
      </c>
      <c r="H114">
        <v>6.03</v>
      </c>
      <c r="I114">
        <v>30.15</v>
      </c>
      <c r="J114">
        <v>14.06</v>
      </c>
      <c r="K114">
        <v>16.09</v>
      </c>
      <c r="L114" t="s">
        <v>60</v>
      </c>
      <c r="M114" t="s">
        <v>21</v>
      </c>
      <c r="N114" t="s">
        <v>142</v>
      </c>
    </row>
    <row r="115" spans="1:14">
      <c r="A115" t="s">
        <v>425</v>
      </c>
      <c r="B115" t="s">
        <v>426</v>
      </c>
      <c r="C115" t="s">
        <v>427</v>
      </c>
      <c r="D115" t="s">
        <v>46</v>
      </c>
      <c r="E115" t="s">
        <v>18</v>
      </c>
      <c r="F115" t="s">
        <v>19</v>
      </c>
      <c r="G115">
        <v>3</v>
      </c>
      <c r="H115">
        <v>7.38</v>
      </c>
      <c r="I115">
        <v>22.14</v>
      </c>
      <c r="J115">
        <v>13.38</v>
      </c>
      <c r="K115">
        <v>8.76</v>
      </c>
      <c r="L115" t="s">
        <v>60</v>
      </c>
      <c r="M115" t="s">
        <v>21</v>
      </c>
      <c r="N115" t="s">
        <v>271</v>
      </c>
    </row>
    <row r="116" spans="1:14">
      <c r="A116" t="s">
        <v>428</v>
      </c>
      <c r="B116" t="s">
        <v>429</v>
      </c>
      <c r="C116" t="s">
        <v>430</v>
      </c>
      <c r="D116" t="s">
        <v>46</v>
      </c>
      <c r="E116" t="s">
        <v>18</v>
      </c>
      <c r="F116" t="s">
        <v>41</v>
      </c>
      <c r="G116">
        <v>2</v>
      </c>
      <c r="H116">
        <v>2.61</v>
      </c>
      <c r="I116">
        <v>5.22</v>
      </c>
      <c r="J116">
        <v>3.56</v>
      </c>
      <c r="K116">
        <v>1.66</v>
      </c>
      <c r="L116" t="s">
        <v>20</v>
      </c>
      <c r="M116" t="s">
        <v>21</v>
      </c>
      <c r="N116" t="s">
        <v>431</v>
      </c>
    </row>
    <row r="117" spans="1:14">
      <c r="A117" t="s">
        <v>432</v>
      </c>
      <c r="B117" t="s">
        <v>433</v>
      </c>
      <c r="C117" t="s">
        <v>434</v>
      </c>
      <c r="D117" t="s">
        <v>46</v>
      </c>
      <c r="E117" t="s">
        <v>18</v>
      </c>
      <c r="F117" t="s">
        <v>19</v>
      </c>
      <c r="G117">
        <v>5</v>
      </c>
      <c r="H117">
        <v>6.35</v>
      </c>
      <c r="I117">
        <v>31.75</v>
      </c>
      <c r="J117">
        <v>16.7</v>
      </c>
      <c r="K117">
        <v>15.05</v>
      </c>
      <c r="L117" t="s">
        <v>36</v>
      </c>
      <c r="M117" t="s">
        <v>54</v>
      </c>
      <c r="N117" t="s">
        <v>191</v>
      </c>
    </row>
    <row r="118" spans="1:14">
      <c r="A118" t="s">
        <v>435</v>
      </c>
      <c r="B118" t="s">
        <v>436</v>
      </c>
      <c r="C118" t="s">
        <v>437</v>
      </c>
      <c r="D118" t="s">
        <v>69</v>
      </c>
      <c r="E118" t="s">
        <v>27</v>
      </c>
      <c r="F118" t="s">
        <v>169</v>
      </c>
      <c r="G118">
        <v>3</v>
      </c>
      <c r="H118">
        <v>4.56</v>
      </c>
      <c r="I118">
        <v>13.68</v>
      </c>
      <c r="J118">
        <v>7.29</v>
      </c>
      <c r="K118">
        <v>6.39</v>
      </c>
      <c r="L118" t="s">
        <v>53</v>
      </c>
      <c r="M118" t="s">
        <v>21</v>
      </c>
      <c r="N118" t="s">
        <v>147</v>
      </c>
    </row>
    <row r="119" spans="1:14">
      <c r="A119" t="s">
        <v>438</v>
      </c>
      <c r="B119" t="s">
        <v>280</v>
      </c>
      <c r="C119" t="s">
        <v>302</v>
      </c>
      <c r="D119" t="s">
        <v>69</v>
      </c>
      <c r="E119" t="s">
        <v>18</v>
      </c>
      <c r="F119" t="s">
        <v>146</v>
      </c>
      <c r="G119">
        <v>1</v>
      </c>
      <c r="H119">
        <v>5.99</v>
      </c>
      <c r="I119">
        <v>5.99</v>
      </c>
      <c r="J119">
        <v>3.12</v>
      </c>
      <c r="K119">
        <v>2.87</v>
      </c>
      <c r="L119" t="s">
        <v>53</v>
      </c>
      <c r="M119" t="s">
        <v>21</v>
      </c>
      <c r="N119" t="s">
        <v>381</v>
      </c>
    </row>
    <row r="120" spans="1:14">
      <c r="A120" t="s">
        <v>439</v>
      </c>
      <c r="B120" t="s">
        <v>440</v>
      </c>
      <c r="C120" t="s">
        <v>441</v>
      </c>
      <c r="D120" t="s">
        <v>69</v>
      </c>
      <c r="E120" t="s">
        <v>74</v>
      </c>
      <c r="F120" t="s">
        <v>92</v>
      </c>
      <c r="G120">
        <v>4</v>
      </c>
      <c r="H120">
        <v>7.86</v>
      </c>
      <c r="I120">
        <v>31.44</v>
      </c>
      <c r="J120">
        <v>14.59</v>
      </c>
      <c r="K120">
        <v>16.85</v>
      </c>
      <c r="L120" t="s">
        <v>36</v>
      </c>
      <c r="M120" t="s">
        <v>29</v>
      </c>
      <c r="N120" t="s">
        <v>230</v>
      </c>
    </row>
    <row r="121" spans="1:14">
      <c r="A121" t="s">
        <v>442</v>
      </c>
      <c r="B121" t="s">
        <v>443</v>
      </c>
      <c r="C121" t="s">
        <v>444</v>
      </c>
      <c r="D121" t="s">
        <v>52</v>
      </c>
      <c r="E121" t="s">
        <v>18</v>
      </c>
      <c r="F121" t="s">
        <v>19</v>
      </c>
      <c r="G121">
        <v>3</v>
      </c>
      <c r="H121">
        <v>4.77</v>
      </c>
      <c r="I121">
        <v>14.31</v>
      </c>
      <c r="J121">
        <v>8.75</v>
      </c>
      <c r="K121">
        <v>5.56</v>
      </c>
      <c r="L121" t="s">
        <v>60</v>
      </c>
      <c r="M121" t="s">
        <v>54</v>
      </c>
      <c r="N121" t="s">
        <v>187</v>
      </c>
    </row>
    <row r="122" spans="1:14">
      <c r="A122" t="s">
        <v>445</v>
      </c>
      <c r="B122" t="s">
        <v>446</v>
      </c>
      <c r="C122" t="s">
        <v>447</v>
      </c>
      <c r="D122" t="s">
        <v>69</v>
      </c>
      <c r="E122" t="s">
        <v>18</v>
      </c>
      <c r="F122" t="s">
        <v>41</v>
      </c>
      <c r="G122">
        <v>5</v>
      </c>
      <c r="H122">
        <v>3.9</v>
      </c>
      <c r="I122">
        <v>19.5</v>
      </c>
      <c r="J122">
        <v>12.03</v>
      </c>
      <c r="K122">
        <v>7.47</v>
      </c>
      <c r="L122" t="s">
        <v>53</v>
      </c>
      <c r="M122" t="s">
        <v>29</v>
      </c>
      <c r="N122" t="s">
        <v>448</v>
      </c>
    </row>
    <row r="123" spans="1:14">
      <c r="A123" t="s">
        <v>449</v>
      </c>
      <c r="B123" t="s">
        <v>67</v>
      </c>
      <c r="C123" t="s">
        <v>450</v>
      </c>
      <c r="D123" t="s">
        <v>17</v>
      </c>
      <c r="E123" t="s">
        <v>74</v>
      </c>
      <c r="F123" t="s">
        <v>83</v>
      </c>
      <c r="G123">
        <v>1</v>
      </c>
      <c r="H123">
        <v>5.5</v>
      </c>
      <c r="I123">
        <v>5.5</v>
      </c>
      <c r="J123">
        <v>2.94</v>
      </c>
      <c r="K123">
        <v>2.56</v>
      </c>
      <c r="L123" t="s">
        <v>60</v>
      </c>
      <c r="M123" t="s">
        <v>21</v>
      </c>
      <c r="N123" t="s">
        <v>451</v>
      </c>
    </row>
    <row r="124" spans="1:14">
      <c r="A124" t="s">
        <v>452</v>
      </c>
      <c r="B124" t="s">
        <v>453</v>
      </c>
      <c r="C124" t="s">
        <v>454</v>
      </c>
      <c r="D124" t="s">
        <v>17</v>
      </c>
      <c r="E124" t="s">
        <v>18</v>
      </c>
      <c r="F124" t="s">
        <v>41</v>
      </c>
      <c r="G124">
        <v>5</v>
      </c>
      <c r="H124">
        <v>6.48</v>
      </c>
      <c r="I124">
        <v>32.4</v>
      </c>
      <c r="J124">
        <v>17.84</v>
      </c>
      <c r="K124">
        <v>14.56</v>
      </c>
      <c r="L124" t="s">
        <v>60</v>
      </c>
      <c r="M124" t="s">
        <v>54</v>
      </c>
      <c r="N124" t="s">
        <v>223</v>
      </c>
    </row>
    <row r="125" spans="1:14">
      <c r="A125" t="s">
        <v>455</v>
      </c>
      <c r="B125" t="s">
        <v>456</v>
      </c>
      <c r="C125" t="s">
        <v>457</v>
      </c>
      <c r="D125" t="s">
        <v>46</v>
      </c>
      <c r="E125" t="s">
        <v>34</v>
      </c>
      <c r="F125" t="s">
        <v>135</v>
      </c>
      <c r="G125">
        <v>5</v>
      </c>
      <c r="H125">
        <v>2.85</v>
      </c>
      <c r="I125">
        <v>14.25</v>
      </c>
      <c r="J125">
        <v>6.44</v>
      </c>
      <c r="K125">
        <v>7.81</v>
      </c>
      <c r="L125" t="s">
        <v>53</v>
      </c>
      <c r="M125" t="s">
        <v>29</v>
      </c>
      <c r="N125" t="s">
        <v>165</v>
      </c>
    </row>
    <row r="126" spans="1:14">
      <c r="A126" t="s">
        <v>458</v>
      </c>
      <c r="B126" t="s">
        <v>77</v>
      </c>
      <c r="C126" t="s">
        <v>459</v>
      </c>
      <c r="D126" t="s">
        <v>17</v>
      </c>
      <c r="E126" t="s">
        <v>34</v>
      </c>
      <c r="F126" t="s">
        <v>59</v>
      </c>
      <c r="G126">
        <v>4</v>
      </c>
      <c r="H126">
        <v>6.55</v>
      </c>
      <c r="I126">
        <v>26.2</v>
      </c>
      <c r="J126">
        <v>15.78</v>
      </c>
      <c r="K126">
        <v>10.42</v>
      </c>
      <c r="L126" t="s">
        <v>36</v>
      </c>
      <c r="M126" t="s">
        <v>29</v>
      </c>
      <c r="N126" t="s">
        <v>155</v>
      </c>
    </row>
    <row r="127" spans="1:14">
      <c r="A127" t="s">
        <v>460</v>
      </c>
      <c r="B127" t="s">
        <v>461</v>
      </c>
      <c r="C127" t="s">
        <v>462</v>
      </c>
      <c r="D127" t="s">
        <v>52</v>
      </c>
      <c r="E127" t="s">
        <v>34</v>
      </c>
      <c r="F127" t="s">
        <v>130</v>
      </c>
      <c r="G127">
        <v>4</v>
      </c>
      <c r="H127">
        <v>6.66</v>
      </c>
      <c r="I127">
        <v>26.64</v>
      </c>
      <c r="J127">
        <v>16.57</v>
      </c>
      <c r="K127">
        <v>10.07</v>
      </c>
      <c r="L127" t="s">
        <v>36</v>
      </c>
      <c r="M127" t="s">
        <v>29</v>
      </c>
      <c r="N127" t="s">
        <v>212</v>
      </c>
    </row>
    <row r="128" spans="1:14">
      <c r="A128" t="s">
        <v>463</v>
      </c>
      <c r="B128" t="s">
        <v>464</v>
      </c>
      <c r="C128" t="s">
        <v>465</v>
      </c>
      <c r="D128" t="s">
        <v>26</v>
      </c>
      <c r="E128" t="s">
        <v>27</v>
      </c>
      <c r="F128" t="s">
        <v>70</v>
      </c>
      <c r="G128">
        <v>2</v>
      </c>
      <c r="H128">
        <v>4.33</v>
      </c>
      <c r="I128">
        <v>8.66</v>
      </c>
      <c r="J128">
        <v>4.07</v>
      </c>
      <c r="K128">
        <v>4.59</v>
      </c>
      <c r="L128" t="s">
        <v>20</v>
      </c>
      <c r="M128" t="s">
        <v>21</v>
      </c>
      <c r="N128" t="s">
        <v>466</v>
      </c>
    </row>
    <row r="129" spans="1:14">
      <c r="A129" t="s">
        <v>467</v>
      </c>
      <c r="B129" t="s">
        <v>468</v>
      </c>
      <c r="C129" t="s">
        <v>469</v>
      </c>
      <c r="D129" t="s">
        <v>17</v>
      </c>
      <c r="E129" t="s">
        <v>74</v>
      </c>
      <c r="F129" t="s">
        <v>75</v>
      </c>
      <c r="G129">
        <v>1</v>
      </c>
      <c r="H129">
        <v>4.34</v>
      </c>
      <c r="I129">
        <v>4.34</v>
      </c>
      <c r="J129">
        <v>2.59</v>
      </c>
      <c r="K129">
        <v>1.75</v>
      </c>
      <c r="L129" t="s">
        <v>53</v>
      </c>
      <c r="M129" t="s">
        <v>21</v>
      </c>
      <c r="N129" t="s">
        <v>470</v>
      </c>
    </row>
    <row r="130" spans="1:14">
      <c r="A130" t="s">
        <v>471</v>
      </c>
      <c r="B130" t="s">
        <v>399</v>
      </c>
      <c r="C130" t="s">
        <v>472</v>
      </c>
      <c r="D130" t="s">
        <v>46</v>
      </c>
      <c r="E130" t="s">
        <v>34</v>
      </c>
      <c r="F130" t="s">
        <v>59</v>
      </c>
      <c r="G130">
        <v>4</v>
      </c>
      <c r="H130">
        <v>4.74</v>
      </c>
      <c r="I130">
        <v>18.96</v>
      </c>
      <c r="J130">
        <v>12.67</v>
      </c>
      <c r="K130">
        <v>6.29</v>
      </c>
      <c r="L130" t="s">
        <v>20</v>
      </c>
      <c r="M130" t="s">
        <v>54</v>
      </c>
      <c r="N130" t="s">
        <v>473</v>
      </c>
    </row>
    <row r="131" spans="1:14">
      <c r="A131" t="s">
        <v>474</v>
      </c>
      <c r="B131" t="s">
        <v>475</v>
      </c>
      <c r="C131" t="s">
        <v>476</v>
      </c>
      <c r="D131" t="s">
        <v>26</v>
      </c>
      <c r="E131" t="s">
        <v>18</v>
      </c>
      <c r="F131" t="s">
        <v>41</v>
      </c>
      <c r="G131">
        <v>3</v>
      </c>
      <c r="H131">
        <v>2.87</v>
      </c>
      <c r="I131">
        <v>8.61</v>
      </c>
      <c r="J131">
        <v>5.15</v>
      </c>
      <c r="K131">
        <v>3.46</v>
      </c>
      <c r="L131" t="s">
        <v>60</v>
      </c>
      <c r="M131" t="s">
        <v>21</v>
      </c>
      <c r="N131" t="s">
        <v>93</v>
      </c>
    </row>
    <row r="132" spans="1:14">
      <c r="A132" t="s">
        <v>477</v>
      </c>
      <c r="B132" t="s">
        <v>478</v>
      </c>
      <c r="C132" t="s">
        <v>479</v>
      </c>
      <c r="D132" t="s">
        <v>26</v>
      </c>
      <c r="E132" t="s">
        <v>34</v>
      </c>
      <c r="F132" t="s">
        <v>59</v>
      </c>
      <c r="G132">
        <v>5</v>
      </c>
      <c r="H132">
        <v>5.43</v>
      </c>
      <c r="I132">
        <v>27.15</v>
      </c>
      <c r="J132">
        <v>12.97</v>
      </c>
      <c r="K132">
        <v>14.18</v>
      </c>
      <c r="L132" t="s">
        <v>36</v>
      </c>
      <c r="M132" t="s">
        <v>54</v>
      </c>
      <c r="N132" t="s">
        <v>322</v>
      </c>
    </row>
    <row r="133" spans="1:14">
      <c r="A133" t="s">
        <v>480</v>
      </c>
      <c r="B133" t="s">
        <v>481</v>
      </c>
      <c r="C133" t="s">
        <v>482</v>
      </c>
      <c r="D133" t="s">
        <v>26</v>
      </c>
      <c r="E133" t="s">
        <v>27</v>
      </c>
      <c r="F133" t="s">
        <v>70</v>
      </c>
      <c r="G133">
        <v>1</v>
      </c>
      <c r="H133">
        <v>4.28</v>
      </c>
      <c r="I133">
        <v>4.28</v>
      </c>
      <c r="J133">
        <v>2.99</v>
      </c>
      <c r="K133">
        <v>1.29</v>
      </c>
      <c r="L133" t="s">
        <v>36</v>
      </c>
      <c r="M133" t="s">
        <v>21</v>
      </c>
      <c r="N133" t="s">
        <v>483</v>
      </c>
    </row>
    <row r="134" spans="1:14">
      <c r="A134" t="s">
        <v>484</v>
      </c>
      <c r="B134" t="s">
        <v>240</v>
      </c>
      <c r="C134" t="s">
        <v>78</v>
      </c>
      <c r="D134" t="s">
        <v>52</v>
      </c>
      <c r="E134" t="s">
        <v>34</v>
      </c>
      <c r="F134" t="s">
        <v>135</v>
      </c>
      <c r="G134">
        <v>5</v>
      </c>
      <c r="H134">
        <v>7.95</v>
      </c>
      <c r="I134">
        <v>39.75</v>
      </c>
      <c r="J134">
        <v>27.46</v>
      </c>
      <c r="K134">
        <v>12.29</v>
      </c>
      <c r="L134" t="s">
        <v>60</v>
      </c>
      <c r="M134" t="s">
        <v>54</v>
      </c>
      <c r="N134" t="s">
        <v>191</v>
      </c>
    </row>
    <row r="135" spans="1:14">
      <c r="A135" t="s">
        <v>485</v>
      </c>
      <c r="B135" t="s">
        <v>486</v>
      </c>
      <c r="C135" t="s">
        <v>487</v>
      </c>
      <c r="D135" t="s">
        <v>46</v>
      </c>
      <c r="E135" t="s">
        <v>18</v>
      </c>
      <c r="F135" t="s">
        <v>19</v>
      </c>
      <c r="G135">
        <v>5</v>
      </c>
      <c r="H135">
        <v>7.4</v>
      </c>
      <c r="I135">
        <v>37</v>
      </c>
      <c r="J135">
        <v>17.22</v>
      </c>
      <c r="K135">
        <v>19.78</v>
      </c>
      <c r="L135" t="s">
        <v>20</v>
      </c>
      <c r="M135" t="s">
        <v>21</v>
      </c>
      <c r="N135" t="s">
        <v>147</v>
      </c>
    </row>
    <row r="136" spans="1:14">
      <c r="A136" t="s">
        <v>488</v>
      </c>
      <c r="B136" t="s">
        <v>489</v>
      </c>
      <c r="C136" t="s">
        <v>490</v>
      </c>
      <c r="D136" t="s">
        <v>26</v>
      </c>
      <c r="E136" t="s">
        <v>74</v>
      </c>
      <c r="F136" t="s">
        <v>83</v>
      </c>
      <c r="G136">
        <v>4</v>
      </c>
      <c r="H136">
        <v>4.42</v>
      </c>
      <c r="I136">
        <v>17.68</v>
      </c>
      <c r="J136">
        <v>8</v>
      </c>
      <c r="K136">
        <v>9.68</v>
      </c>
      <c r="L136" t="s">
        <v>36</v>
      </c>
      <c r="M136" t="s">
        <v>54</v>
      </c>
      <c r="N136" t="s">
        <v>491</v>
      </c>
    </row>
    <row r="137" spans="1:14">
      <c r="A137" t="s">
        <v>492</v>
      </c>
      <c r="B137" t="s">
        <v>493</v>
      </c>
      <c r="C137" t="s">
        <v>494</v>
      </c>
      <c r="D137" t="s">
        <v>17</v>
      </c>
      <c r="E137" t="s">
        <v>74</v>
      </c>
      <c r="F137" t="s">
        <v>83</v>
      </c>
      <c r="G137">
        <v>5</v>
      </c>
      <c r="H137">
        <v>7.7</v>
      </c>
      <c r="I137">
        <v>38.5</v>
      </c>
      <c r="J137">
        <v>18.15</v>
      </c>
      <c r="K137">
        <v>20.35</v>
      </c>
      <c r="L137" t="s">
        <v>60</v>
      </c>
      <c r="M137" t="s">
        <v>21</v>
      </c>
      <c r="N137" t="s">
        <v>147</v>
      </c>
    </row>
    <row r="138" spans="1:14">
      <c r="A138" t="s">
        <v>495</v>
      </c>
      <c r="B138" t="s">
        <v>263</v>
      </c>
      <c r="C138" t="s">
        <v>496</v>
      </c>
      <c r="D138" t="s">
        <v>17</v>
      </c>
      <c r="E138" t="s">
        <v>34</v>
      </c>
      <c r="F138" t="s">
        <v>130</v>
      </c>
      <c r="G138">
        <v>2</v>
      </c>
      <c r="H138">
        <v>5.41</v>
      </c>
      <c r="I138">
        <v>10.82</v>
      </c>
      <c r="J138">
        <v>6.79</v>
      </c>
      <c r="K138">
        <v>4.03</v>
      </c>
      <c r="L138" t="s">
        <v>20</v>
      </c>
      <c r="M138" t="s">
        <v>29</v>
      </c>
      <c r="N138" t="s">
        <v>497</v>
      </c>
    </row>
    <row r="139" spans="1:14">
      <c r="A139" t="s">
        <v>498</v>
      </c>
      <c r="B139" t="s">
        <v>499</v>
      </c>
      <c r="C139" t="s">
        <v>500</v>
      </c>
      <c r="D139" t="s">
        <v>52</v>
      </c>
      <c r="E139" t="s">
        <v>74</v>
      </c>
      <c r="F139" t="s">
        <v>83</v>
      </c>
      <c r="G139">
        <v>5</v>
      </c>
      <c r="H139">
        <v>3.33</v>
      </c>
      <c r="I139">
        <v>16.65</v>
      </c>
      <c r="J139">
        <v>11.35</v>
      </c>
      <c r="K139">
        <v>5.3</v>
      </c>
      <c r="L139" t="s">
        <v>36</v>
      </c>
      <c r="M139" t="s">
        <v>54</v>
      </c>
      <c r="N139" t="s">
        <v>303</v>
      </c>
    </row>
    <row r="140" spans="1:14">
      <c r="A140" t="s">
        <v>501</v>
      </c>
      <c r="B140" t="s">
        <v>502</v>
      </c>
      <c r="C140" t="s">
        <v>503</v>
      </c>
      <c r="D140" t="s">
        <v>46</v>
      </c>
      <c r="E140" t="s">
        <v>74</v>
      </c>
      <c r="F140" t="s">
        <v>92</v>
      </c>
      <c r="G140">
        <v>5</v>
      </c>
      <c r="H140">
        <v>5.81</v>
      </c>
      <c r="I140">
        <v>29.05</v>
      </c>
      <c r="J140">
        <v>16.7</v>
      </c>
      <c r="K140">
        <v>12.35</v>
      </c>
      <c r="L140" t="s">
        <v>53</v>
      </c>
      <c r="M140" t="s">
        <v>29</v>
      </c>
      <c r="N140" t="s">
        <v>287</v>
      </c>
    </row>
    <row r="141" spans="1:14">
      <c r="A141" t="s">
        <v>504</v>
      </c>
      <c r="B141" t="s">
        <v>505</v>
      </c>
      <c r="C141" t="s">
        <v>506</v>
      </c>
      <c r="D141" t="s">
        <v>26</v>
      </c>
      <c r="E141" t="s">
        <v>74</v>
      </c>
      <c r="F141" t="s">
        <v>92</v>
      </c>
      <c r="G141">
        <v>3</v>
      </c>
      <c r="H141">
        <v>3.58</v>
      </c>
      <c r="I141">
        <v>10.74</v>
      </c>
      <c r="J141">
        <v>6.26</v>
      </c>
      <c r="K141">
        <v>4.48</v>
      </c>
      <c r="L141" t="s">
        <v>20</v>
      </c>
      <c r="M141" t="s">
        <v>54</v>
      </c>
      <c r="N141" t="s">
        <v>507</v>
      </c>
    </row>
    <row r="142" spans="1:14">
      <c r="A142" t="s">
        <v>508</v>
      </c>
      <c r="B142" t="s">
        <v>509</v>
      </c>
      <c r="C142" t="s">
        <v>510</v>
      </c>
      <c r="D142" t="s">
        <v>26</v>
      </c>
      <c r="E142" t="s">
        <v>74</v>
      </c>
      <c r="F142" t="s">
        <v>75</v>
      </c>
      <c r="G142">
        <v>1</v>
      </c>
      <c r="H142">
        <v>6.23</v>
      </c>
      <c r="I142">
        <v>6.23</v>
      </c>
      <c r="J142">
        <v>3.36</v>
      </c>
      <c r="K142">
        <v>2.87</v>
      </c>
      <c r="L142" t="s">
        <v>53</v>
      </c>
      <c r="M142" t="s">
        <v>29</v>
      </c>
      <c r="N142" t="s">
        <v>216</v>
      </c>
    </row>
    <row r="143" spans="1:14">
      <c r="A143" t="s">
        <v>511</v>
      </c>
      <c r="B143" t="s">
        <v>283</v>
      </c>
      <c r="C143" t="s">
        <v>512</v>
      </c>
      <c r="D143" t="s">
        <v>52</v>
      </c>
      <c r="E143" t="s">
        <v>74</v>
      </c>
      <c r="F143" t="s">
        <v>75</v>
      </c>
      <c r="G143">
        <v>3</v>
      </c>
      <c r="H143">
        <v>5.6</v>
      </c>
      <c r="I143">
        <v>16.8</v>
      </c>
      <c r="J143">
        <v>9.42</v>
      </c>
      <c r="K143">
        <v>7.38</v>
      </c>
      <c r="L143" t="s">
        <v>36</v>
      </c>
      <c r="M143" t="s">
        <v>21</v>
      </c>
      <c r="N143" t="s">
        <v>513</v>
      </c>
    </row>
    <row r="144" spans="1:14">
      <c r="A144" t="s">
        <v>514</v>
      </c>
      <c r="B144" t="s">
        <v>247</v>
      </c>
      <c r="C144" t="s">
        <v>515</v>
      </c>
      <c r="D144" t="s">
        <v>17</v>
      </c>
      <c r="E144" t="s">
        <v>18</v>
      </c>
      <c r="F144" t="s">
        <v>146</v>
      </c>
      <c r="G144">
        <v>3</v>
      </c>
      <c r="H144">
        <v>4.72</v>
      </c>
      <c r="I144">
        <v>14.16</v>
      </c>
      <c r="J144">
        <v>8.68</v>
      </c>
      <c r="K144">
        <v>5.48</v>
      </c>
      <c r="L144" t="s">
        <v>60</v>
      </c>
      <c r="M144" t="s">
        <v>54</v>
      </c>
      <c r="N144" t="s">
        <v>238</v>
      </c>
    </row>
    <row r="145" spans="1:14">
      <c r="A145" t="s">
        <v>516</v>
      </c>
      <c r="B145" t="s">
        <v>486</v>
      </c>
      <c r="C145" t="s">
        <v>517</v>
      </c>
      <c r="D145" t="s">
        <v>46</v>
      </c>
      <c r="E145" t="s">
        <v>34</v>
      </c>
      <c r="F145" t="s">
        <v>135</v>
      </c>
      <c r="G145">
        <v>2</v>
      </c>
      <c r="H145">
        <v>3.01</v>
      </c>
      <c r="I145">
        <v>6.02</v>
      </c>
      <c r="J145">
        <v>4.21</v>
      </c>
      <c r="K145">
        <v>1.81</v>
      </c>
      <c r="L145" t="s">
        <v>60</v>
      </c>
      <c r="M145" t="s">
        <v>29</v>
      </c>
      <c r="N145" t="s">
        <v>518</v>
      </c>
    </row>
    <row r="146" spans="1:14">
      <c r="A146" t="s">
        <v>519</v>
      </c>
      <c r="B146" t="s">
        <v>520</v>
      </c>
      <c r="C146" t="s">
        <v>521</v>
      </c>
      <c r="D146" t="s">
        <v>26</v>
      </c>
      <c r="E146" t="s">
        <v>27</v>
      </c>
      <c r="F146" t="s">
        <v>28</v>
      </c>
      <c r="G146">
        <v>1</v>
      </c>
      <c r="H146">
        <v>7.24</v>
      </c>
      <c r="I146">
        <v>7.24</v>
      </c>
      <c r="J146">
        <v>3.4</v>
      </c>
      <c r="K146">
        <v>3.84</v>
      </c>
      <c r="L146" t="s">
        <v>36</v>
      </c>
      <c r="M146" t="s">
        <v>21</v>
      </c>
      <c r="N146" t="s">
        <v>170</v>
      </c>
    </row>
    <row r="147" spans="1:14">
      <c r="A147" t="s">
        <v>522</v>
      </c>
      <c r="B147" t="s">
        <v>523</v>
      </c>
      <c r="C147" t="s">
        <v>524</v>
      </c>
      <c r="D147" t="s">
        <v>69</v>
      </c>
      <c r="E147" t="s">
        <v>74</v>
      </c>
      <c r="F147" t="s">
        <v>83</v>
      </c>
      <c r="G147">
        <v>5</v>
      </c>
      <c r="H147">
        <v>5.72</v>
      </c>
      <c r="I147">
        <v>28.6</v>
      </c>
      <c r="J147">
        <v>13.44</v>
      </c>
      <c r="K147">
        <v>15.16</v>
      </c>
      <c r="L147" t="s">
        <v>20</v>
      </c>
      <c r="M147" t="s">
        <v>21</v>
      </c>
      <c r="N147" t="s">
        <v>101</v>
      </c>
    </row>
    <row r="148" spans="1:14">
      <c r="A148" t="s">
        <v>525</v>
      </c>
      <c r="B148" t="s">
        <v>415</v>
      </c>
      <c r="C148" t="s">
        <v>526</v>
      </c>
      <c r="D148" t="s">
        <v>26</v>
      </c>
      <c r="E148" t="s">
        <v>27</v>
      </c>
      <c r="F148" t="s">
        <v>125</v>
      </c>
      <c r="G148">
        <v>5</v>
      </c>
      <c r="H148">
        <v>3.6</v>
      </c>
      <c r="I148">
        <v>18</v>
      </c>
      <c r="J148">
        <v>8.1</v>
      </c>
      <c r="K148">
        <v>9.9</v>
      </c>
      <c r="L148" t="s">
        <v>36</v>
      </c>
      <c r="M148" t="s">
        <v>54</v>
      </c>
      <c r="N148" t="s">
        <v>177</v>
      </c>
    </row>
    <row r="149" spans="1:14">
      <c r="A149" t="s">
        <v>527</v>
      </c>
      <c r="B149" t="s">
        <v>528</v>
      </c>
      <c r="C149" t="s">
        <v>529</v>
      </c>
      <c r="D149" t="s">
        <v>26</v>
      </c>
      <c r="E149" t="s">
        <v>74</v>
      </c>
      <c r="F149" t="s">
        <v>75</v>
      </c>
      <c r="G149">
        <v>3</v>
      </c>
      <c r="H149">
        <v>4.45</v>
      </c>
      <c r="I149">
        <v>13.35</v>
      </c>
      <c r="J149">
        <v>7.31</v>
      </c>
      <c r="K149">
        <v>6.04</v>
      </c>
      <c r="L149" t="s">
        <v>36</v>
      </c>
      <c r="M149" t="s">
        <v>29</v>
      </c>
      <c r="N149" t="s">
        <v>530</v>
      </c>
    </row>
    <row r="150" spans="1:14">
      <c r="A150" t="s">
        <v>531</v>
      </c>
      <c r="B150" t="s">
        <v>532</v>
      </c>
      <c r="C150" t="s">
        <v>533</v>
      </c>
      <c r="D150" t="s">
        <v>46</v>
      </c>
      <c r="E150" t="s">
        <v>27</v>
      </c>
      <c r="F150" t="s">
        <v>125</v>
      </c>
      <c r="G150">
        <v>3</v>
      </c>
      <c r="H150">
        <v>6.53</v>
      </c>
      <c r="I150">
        <v>19.59</v>
      </c>
      <c r="J150">
        <v>9.06</v>
      </c>
      <c r="K150">
        <v>10.53</v>
      </c>
      <c r="L150" t="s">
        <v>53</v>
      </c>
      <c r="M150" t="s">
        <v>54</v>
      </c>
      <c r="N150" t="s">
        <v>534</v>
      </c>
    </row>
    <row r="151" spans="1:14">
      <c r="A151" t="s">
        <v>535</v>
      </c>
      <c r="B151" t="s">
        <v>308</v>
      </c>
      <c r="C151" t="s">
        <v>536</v>
      </c>
      <c r="D151" t="s">
        <v>26</v>
      </c>
      <c r="E151" t="s">
        <v>27</v>
      </c>
      <c r="F151" t="s">
        <v>125</v>
      </c>
      <c r="G151">
        <v>5</v>
      </c>
      <c r="H151">
        <v>2.78</v>
      </c>
      <c r="I151">
        <v>13.9</v>
      </c>
      <c r="J151">
        <v>9.42</v>
      </c>
      <c r="K151">
        <v>4.48</v>
      </c>
      <c r="L151" t="s">
        <v>36</v>
      </c>
      <c r="M151" t="s">
        <v>29</v>
      </c>
      <c r="N151" t="s">
        <v>216</v>
      </c>
    </row>
    <row r="152" spans="1:14">
      <c r="A152" t="s">
        <v>537</v>
      </c>
      <c r="B152" t="s">
        <v>538</v>
      </c>
      <c r="C152" t="s">
        <v>539</v>
      </c>
      <c r="D152" t="s">
        <v>52</v>
      </c>
      <c r="E152" t="s">
        <v>18</v>
      </c>
      <c r="F152" t="s">
        <v>19</v>
      </c>
      <c r="G152">
        <v>3</v>
      </c>
      <c r="H152">
        <v>4.1</v>
      </c>
      <c r="I152">
        <v>12.3</v>
      </c>
      <c r="J152">
        <v>6.17</v>
      </c>
      <c r="K152">
        <v>6.13</v>
      </c>
      <c r="L152" t="s">
        <v>53</v>
      </c>
      <c r="M152" t="s">
        <v>29</v>
      </c>
      <c r="N152" t="s">
        <v>401</v>
      </c>
    </row>
    <row r="153" spans="1:14">
      <c r="A153" t="s">
        <v>540</v>
      </c>
      <c r="B153" t="s">
        <v>541</v>
      </c>
      <c r="C153" t="s">
        <v>542</v>
      </c>
      <c r="D153" t="s">
        <v>26</v>
      </c>
      <c r="E153" t="s">
        <v>74</v>
      </c>
      <c r="F153" t="s">
        <v>92</v>
      </c>
      <c r="G153">
        <v>3</v>
      </c>
      <c r="H153">
        <v>5.34</v>
      </c>
      <c r="I153">
        <v>16.02</v>
      </c>
      <c r="J153">
        <v>9.46</v>
      </c>
      <c r="K153">
        <v>6.56</v>
      </c>
      <c r="L153" t="s">
        <v>36</v>
      </c>
      <c r="M153" t="s">
        <v>54</v>
      </c>
      <c r="N153" t="s">
        <v>287</v>
      </c>
    </row>
    <row r="154" spans="1:14">
      <c r="A154" t="s">
        <v>543</v>
      </c>
      <c r="B154" t="s">
        <v>214</v>
      </c>
      <c r="C154" t="s">
        <v>544</v>
      </c>
      <c r="D154" t="s">
        <v>46</v>
      </c>
      <c r="E154" t="s">
        <v>74</v>
      </c>
      <c r="F154" t="s">
        <v>83</v>
      </c>
      <c r="G154">
        <v>3</v>
      </c>
      <c r="H154">
        <v>3.84</v>
      </c>
      <c r="I154">
        <v>11.52</v>
      </c>
      <c r="J154">
        <v>5.89</v>
      </c>
      <c r="K154">
        <v>5.63</v>
      </c>
      <c r="L154" t="s">
        <v>53</v>
      </c>
      <c r="M154" t="s">
        <v>21</v>
      </c>
      <c r="N154" t="s">
        <v>48</v>
      </c>
    </row>
    <row r="155" spans="1:14">
      <c r="A155" t="s">
        <v>545</v>
      </c>
      <c r="B155" t="s">
        <v>443</v>
      </c>
      <c r="C155" t="s">
        <v>546</v>
      </c>
      <c r="D155" t="s">
        <v>69</v>
      </c>
      <c r="E155" t="s">
        <v>34</v>
      </c>
      <c r="F155" t="s">
        <v>135</v>
      </c>
      <c r="G155">
        <v>3</v>
      </c>
      <c r="H155">
        <v>4.51</v>
      </c>
      <c r="I155">
        <v>13.53</v>
      </c>
      <c r="J155">
        <v>6.99</v>
      </c>
      <c r="K155">
        <v>6.54</v>
      </c>
      <c r="L155" t="s">
        <v>36</v>
      </c>
      <c r="M155" t="s">
        <v>21</v>
      </c>
      <c r="N155" t="s">
        <v>118</v>
      </c>
    </row>
    <row r="156" spans="1:14">
      <c r="A156" t="s">
        <v>547</v>
      </c>
      <c r="B156" t="s">
        <v>548</v>
      </c>
      <c r="C156" t="s">
        <v>549</v>
      </c>
      <c r="D156" t="s">
        <v>52</v>
      </c>
      <c r="E156" t="s">
        <v>27</v>
      </c>
      <c r="F156" t="s">
        <v>28</v>
      </c>
      <c r="G156">
        <v>3</v>
      </c>
      <c r="H156">
        <v>3.22</v>
      </c>
      <c r="I156">
        <v>9.66</v>
      </c>
      <c r="J156">
        <v>6.37</v>
      </c>
      <c r="K156">
        <v>3.29</v>
      </c>
      <c r="L156" t="s">
        <v>60</v>
      </c>
      <c r="M156" t="s">
        <v>29</v>
      </c>
      <c r="N156" t="s">
        <v>550</v>
      </c>
    </row>
    <row r="157" spans="1:14">
      <c r="A157" t="s">
        <v>551</v>
      </c>
      <c r="B157" t="s">
        <v>552</v>
      </c>
      <c r="C157" t="s">
        <v>553</v>
      </c>
      <c r="D157" t="s">
        <v>46</v>
      </c>
      <c r="E157" t="s">
        <v>27</v>
      </c>
      <c r="F157" t="s">
        <v>169</v>
      </c>
      <c r="G157">
        <v>4</v>
      </c>
      <c r="H157">
        <v>5.48</v>
      </c>
      <c r="I157">
        <v>21.92</v>
      </c>
      <c r="J157">
        <v>10.84</v>
      </c>
      <c r="K157">
        <v>11.08</v>
      </c>
      <c r="L157" t="s">
        <v>20</v>
      </c>
      <c r="M157" t="s">
        <v>21</v>
      </c>
      <c r="N157" t="s">
        <v>22</v>
      </c>
    </row>
    <row r="158" spans="1:14">
      <c r="A158" t="s">
        <v>554</v>
      </c>
      <c r="B158" t="s">
        <v>555</v>
      </c>
      <c r="C158" t="s">
        <v>556</v>
      </c>
      <c r="D158" t="s">
        <v>69</v>
      </c>
      <c r="E158" t="s">
        <v>74</v>
      </c>
      <c r="F158" t="s">
        <v>92</v>
      </c>
      <c r="G158">
        <v>3</v>
      </c>
      <c r="H158">
        <v>6.06</v>
      </c>
      <c r="I158">
        <v>18.18</v>
      </c>
      <c r="J158">
        <v>12.03</v>
      </c>
      <c r="K158">
        <v>6.15</v>
      </c>
      <c r="L158" t="s">
        <v>20</v>
      </c>
      <c r="M158" t="s">
        <v>29</v>
      </c>
      <c r="N158" t="s">
        <v>491</v>
      </c>
    </row>
    <row r="159" spans="1:14">
      <c r="A159" t="s">
        <v>557</v>
      </c>
      <c r="B159" t="s">
        <v>276</v>
      </c>
      <c r="C159" t="s">
        <v>558</v>
      </c>
      <c r="D159" t="s">
        <v>17</v>
      </c>
      <c r="E159" t="s">
        <v>74</v>
      </c>
      <c r="F159" t="s">
        <v>92</v>
      </c>
      <c r="G159">
        <v>1</v>
      </c>
      <c r="H159">
        <v>5.72</v>
      </c>
      <c r="I159">
        <v>5.72</v>
      </c>
      <c r="J159">
        <v>3.68</v>
      </c>
      <c r="K159">
        <v>2.04</v>
      </c>
      <c r="L159" t="s">
        <v>20</v>
      </c>
      <c r="M159" t="s">
        <v>21</v>
      </c>
      <c r="N159" t="s">
        <v>65</v>
      </c>
    </row>
    <row r="160" spans="1:14">
      <c r="A160" t="s">
        <v>559</v>
      </c>
      <c r="B160" t="s">
        <v>468</v>
      </c>
      <c r="C160" t="s">
        <v>58</v>
      </c>
      <c r="D160" t="s">
        <v>52</v>
      </c>
      <c r="E160" t="s">
        <v>34</v>
      </c>
      <c r="F160" t="s">
        <v>130</v>
      </c>
      <c r="G160">
        <v>2</v>
      </c>
      <c r="H160">
        <v>6.65</v>
      </c>
      <c r="I160">
        <v>13.3</v>
      </c>
      <c r="J160">
        <v>8.95</v>
      </c>
      <c r="K160">
        <v>4.35</v>
      </c>
      <c r="L160" t="s">
        <v>20</v>
      </c>
      <c r="M160" t="s">
        <v>54</v>
      </c>
      <c r="N160" t="s">
        <v>560</v>
      </c>
    </row>
    <row r="161" spans="1:14">
      <c r="A161" t="s">
        <v>561</v>
      </c>
      <c r="B161" t="s">
        <v>289</v>
      </c>
      <c r="C161" t="s">
        <v>562</v>
      </c>
      <c r="D161" t="s">
        <v>26</v>
      </c>
      <c r="E161" t="s">
        <v>74</v>
      </c>
      <c r="F161" t="s">
        <v>83</v>
      </c>
      <c r="G161">
        <v>5</v>
      </c>
      <c r="H161">
        <v>4.9</v>
      </c>
      <c r="I161">
        <v>24.5</v>
      </c>
      <c r="J161">
        <v>14.06</v>
      </c>
      <c r="K161">
        <v>10.44</v>
      </c>
      <c r="L161" t="s">
        <v>36</v>
      </c>
      <c r="M161" t="s">
        <v>29</v>
      </c>
      <c r="N161" t="s">
        <v>401</v>
      </c>
    </row>
    <row r="162" spans="1:14">
      <c r="A162" t="s">
        <v>563</v>
      </c>
      <c r="B162" t="s">
        <v>99</v>
      </c>
      <c r="C162" t="s">
        <v>564</v>
      </c>
      <c r="D162" t="s">
        <v>17</v>
      </c>
      <c r="E162" t="s">
        <v>34</v>
      </c>
      <c r="F162" t="s">
        <v>135</v>
      </c>
      <c r="G162">
        <v>2</v>
      </c>
      <c r="H162">
        <v>3.78</v>
      </c>
      <c r="I162">
        <v>7.56</v>
      </c>
      <c r="J162">
        <v>4.79</v>
      </c>
      <c r="K162">
        <v>2.77</v>
      </c>
      <c r="L162" t="s">
        <v>60</v>
      </c>
      <c r="M162" t="s">
        <v>29</v>
      </c>
      <c r="N162" t="s">
        <v>326</v>
      </c>
    </row>
    <row r="163" spans="1:14">
      <c r="A163" t="s">
        <v>565</v>
      </c>
      <c r="B163" t="s">
        <v>566</v>
      </c>
      <c r="C163" t="s">
        <v>567</v>
      </c>
      <c r="D163" t="s">
        <v>26</v>
      </c>
      <c r="E163" t="s">
        <v>18</v>
      </c>
      <c r="F163" t="s">
        <v>41</v>
      </c>
      <c r="G163">
        <v>4</v>
      </c>
      <c r="H163">
        <v>3.74</v>
      </c>
      <c r="I163">
        <v>14.96</v>
      </c>
      <c r="J163">
        <v>7.82</v>
      </c>
      <c r="K163">
        <v>7.14</v>
      </c>
      <c r="L163" t="s">
        <v>53</v>
      </c>
      <c r="M163" t="s">
        <v>21</v>
      </c>
      <c r="N163" t="s">
        <v>42</v>
      </c>
    </row>
    <row r="164" spans="1:14">
      <c r="A164" t="s">
        <v>568</v>
      </c>
      <c r="B164" t="s">
        <v>569</v>
      </c>
      <c r="C164" t="s">
        <v>570</v>
      </c>
      <c r="D164" t="s">
        <v>69</v>
      </c>
      <c r="E164" t="s">
        <v>18</v>
      </c>
      <c r="F164" t="s">
        <v>146</v>
      </c>
      <c r="G164">
        <v>5</v>
      </c>
      <c r="H164">
        <v>6.47</v>
      </c>
      <c r="I164">
        <v>32.35</v>
      </c>
      <c r="J164">
        <v>16.27</v>
      </c>
      <c r="K164">
        <v>16.08</v>
      </c>
      <c r="L164" t="s">
        <v>36</v>
      </c>
      <c r="M164" t="s">
        <v>21</v>
      </c>
      <c r="N164" t="s">
        <v>483</v>
      </c>
    </row>
    <row r="165" spans="1:14">
      <c r="A165" t="s">
        <v>571</v>
      </c>
      <c r="B165" t="s">
        <v>572</v>
      </c>
      <c r="C165" t="s">
        <v>573</v>
      </c>
      <c r="D165" t="s">
        <v>46</v>
      </c>
      <c r="E165" t="s">
        <v>18</v>
      </c>
      <c r="F165" t="s">
        <v>146</v>
      </c>
      <c r="G165">
        <v>3</v>
      </c>
      <c r="H165">
        <v>2.9</v>
      </c>
      <c r="I165">
        <v>8.7</v>
      </c>
      <c r="J165">
        <v>4.73</v>
      </c>
      <c r="K165">
        <v>3.97</v>
      </c>
      <c r="L165" t="s">
        <v>20</v>
      </c>
      <c r="M165" t="s">
        <v>21</v>
      </c>
      <c r="N165" t="s">
        <v>574</v>
      </c>
    </row>
    <row r="166" spans="1:14">
      <c r="A166" t="s">
        <v>575</v>
      </c>
      <c r="B166" t="s">
        <v>576</v>
      </c>
      <c r="C166" t="s">
        <v>533</v>
      </c>
      <c r="D166" t="s">
        <v>69</v>
      </c>
      <c r="E166" t="s">
        <v>34</v>
      </c>
      <c r="F166" t="s">
        <v>135</v>
      </c>
      <c r="G166">
        <v>4</v>
      </c>
      <c r="H166">
        <v>3.23</v>
      </c>
      <c r="I166">
        <v>12.92</v>
      </c>
      <c r="J166">
        <v>8.31</v>
      </c>
      <c r="K166">
        <v>4.61</v>
      </c>
      <c r="L166" t="s">
        <v>60</v>
      </c>
      <c r="M166" t="s">
        <v>54</v>
      </c>
      <c r="N166" t="s">
        <v>278</v>
      </c>
    </row>
    <row r="167" spans="1:14">
      <c r="A167" t="s">
        <v>577</v>
      </c>
      <c r="B167" t="s">
        <v>578</v>
      </c>
      <c r="C167" t="s">
        <v>579</v>
      </c>
      <c r="D167" t="s">
        <v>26</v>
      </c>
      <c r="E167" t="s">
        <v>34</v>
      </c>
      <c r="F167" t="s">
        <v>135</v>
      </c>
      <c r="G167">
        <v>4</v>
      </c>
      <c r="H167">
        <v>6.13</v>
      </c>
      <c r="I167">
        <v>24.52</v>
      </c>
      <c r="J167">
        <v>11.46</v>
      </c>
      <c r="K167">
        <v>13.06</v>
      </c>
      <c r="L167" t="s">
        <v>36</v>
      </c>
      <c r="M167" t="s">
        <v>21</v>
      </c>
      <c r="N167" t="s">
        <v>580</v>
      </c>
    </row>
    <row r="168" spans="1:14">
      <c r="A168" t="s">
        <v>581</v>
      </c>
      <c r="B168" t="s">
        <v>582</v>
      </c>
      <c r="C168" t="s">
        <v>583</v>
      </c>
      <c r="D168" t="s">
        <v>26</v>
      </c>
      <c r="E168" t="s">
        <v>18</v>
      </c>
      <c r="F168" t="s">
        <v>19</v>
      </c>
      <c r="G168">
        <v>5</v>
      </c>
      <c r="H168">
        <v>3.46</v>
      </c>
      <c r="I168">
        <v>17.3</v>
      </c>
      <c r="J168">
        <v>10.93</v>
      </c>
      <c r="K168">
        <v>6.37</v>
      </c>
      <c r="L168" t="s">
        <v>53</v>
      </c>
      <c r="M168" t="s">
        <v>29</v>
      </c>
      <c r="N168" t="s">
        <v>261</v>
      </c>
    </row>
    <row r="169" spans="1:14">
      <c r="A169" t="s">
        <v>584</v>
      </c>
      <c r="B169" t="s">
        <v>585</v>
      </c>
      <c r="C169" t="s">
        <v>586</v>
      </c>
      <c r="D169" t="s">
        <v>69</v>
      </c>
      <c r="E169" t="s">
        <v>18</v>
      </c>
      <c r="F169" t="s">
        <v>146</v>
      </c>
      <c r="G169">
        <v>2</v>
      </c>
      <c r="H169">
        <v>7.65</v>
      </c>
      <c r="I169">
        <v>15.3</v>
      </c>
      <c r="J169">
        <v>10.63</v>
      </c>
      <c r="K169">
        <v>4.67</v>
      </c>
      <c r="L169" t="s">
        <v>36</v>
      </c>
      <c r="M169" t="s">
        <v>29</v>
      </c>
      <c r="N169" t="s">
        <v>42</v>
      </c>
    </row>
    <row r="170" spans="1:14">
      <c r="A170" t="s">
        <v>587</v>
      </c>
      <c r="B170" t="s">
        <v>588</v>
      </c>
      <c r="C170" t="s">
        <v>589</v>
      </c>
      <c r="D170" t="s">
        <v>17</v>
      </c>
      <c r="E170" t="s">
        <v>74</v>
      </c>
      <c r="F170" t="s">
        <v>75</v>
      </c>
      <c r="G170">
        <v>1</v>
      </c>
      <c r="H170">
        <v>4.13</v>
      </c>
      <c r="I170">
        <v>4.13</v>
      </c>
      <c r="J170">
        <v>2.7</v>
      </c>
      <c r="K170">
        <v>1.43</v>
      </c>
      <c r="L170" t="s">
        <v>53</v>
      </c>
      <c r="M170" t="s">
        <v>29</v>
      </c>
      <c r="N170" t="s">
        <v>42</v>
      </c>
    </row>
    <row r="171" spans="1:14">
      <c r="A171" t="s">
        <v>590</v>
      </c>
      <c r="B171" t="s">
        <v>591</v>
      </c>
      <c r="C171" t="s">
        <v>592</v>
      </c>
      <c r="D171" t="s">
        <v>46</v>
      </c>
      <c r="E171" t="s">
        <v>74</v>
      </c>
      <c r="F171" t="s">
        <v>83</v>
      </c>
      <c r="G171">
        <v>1</v>
      </c>
      <c r="H171">
        <v>7.92</v>
      </c>
      <c r="I171">
        <v>7.92</v>
      </c>
      <c r="J171">
        <v>4.28</v>
      </c>
      <c r="K171">
        <v>3.64</v>
      </c>
      <c r="L171" t="s">
        <v>20</v>
      </c>
      <c r="M171" t="s">
        <v>21</v>
      </c>
      <c r="N171" t="s">
        <v>448</v>
      </c>
    </row>
    <row r="172" spans="1:14">
      <c r="A172" t="s">
        <v>593</v>
      </c>
      <c r="B172" t="s">
        <v>594</v>
      </c>
      <c r="C172" t="s">
        <v>595</v>
      </c>
      <c r="D172" t="s">
        <v>17</v>
      </c>
      <c r="E172" t="s">
        <v>74</v>
      </c>
      <c r="F172" t="s">
        <v>83</v>
      </c>
      <c r="G172">
        <v>4</v>
      </c>
      <c r="H172">
        <v>6.54</v>
      </c>
      <c r="I172">
        <v>26.16</v>
      </c>
      <c r="J172">
        <v>15.79</v>
      </c>
      <c r="K172">
        <v>10.37</v>
      </c>
      <c r="L172" t="s">
        <v>36</v>
      </c>
      <c r="M172" t="s">
        <v>54</v>
      </c>
      <c r="N172" t="s">
        <v>223</v>
      </c>
    </row>
    <row r="173" spans="1:14">
      <c r="A173" t="s">
        <v>596</v>
      </c>
      <c r="B173" t="s">
        <v>597</v>
      </c>
      <c r="C173" t="s">
        <v>598</v>
      </c>
      <c r="D173" t="s">
        <v>52</v>
      </c>
      <c r="E173" t="s">
        <v>18</v>
      </c>
      <c r="F173" t="s">
        <v>19</v>
      </c>
      <c r="G173">
        <v>5</v>
      </c>
      <c r="H173">
        <v>6.23</v>
      </c>
      <c r="I173">
        <v>31.15</v>
      </c>
      <c r="J173">
        <v>16.65</v>
      </c>
      <c r="K173">
        <v>14.5</v>
      </c>
      <c r="L173" t="s">
        <v>20</v>
      </c>
      <c r="M173" t="s">
        <v>29</v>
      </c>
      <c r="N173" t="s">
        <v>599</v>
      </c>
    </row>
    <row r="174" spans="1:14">
      <c r="A174" t="s">
        <v>600</v>
      </c>
      <c r="B174" t="s">
        <v>601</v>
      </c>
      <c r="C174" t="s">
        <v>444</v>
      </c>
      <c r="D174" t="s">
        <v>52</v>
      </c>
      <c r="E174" t="s">
        <v>27</v>
      </c>
      <c r="F174" t="s">
        <v>125</v>
      </c>
      <c r="G174">
        <v>3</v>
      </c>
      <c r="H174">
        <v>3.37</v>
      </c>
      <c r="I174">
        <v>10.11</v>
      </c>
      <c r="J174">
        <v>6.42</v>
      </c>
      <c r="K174">
        <v>3.69</v>
      </c>
      <c r="L174" t="s">
        <v>36</v>
      </c>
      <c r="M174" t="s">
        <v>29</v>
      </c>
      <c r="N174" t="s">
        <v>118</v>
      </c>
    </row>
    <row r="175" spans="1:14">
      <c r="A175" t="s">
        <v>602</v>
      </c>
      <c r="B175" t="s">
        <v>603</v>
      </c>
      <c r="C175" t="s">
        <v>604</v>
      </c>
      <c r="D175" t="s">
        <v>26</v>
      </c>
      <c r="E175" t="s">
        <v>27</v>
      </c>
      <c r="F175" t="s">
        <v>70</v>
      </c>
      <c r="G175">
        <v>1</v>
      </c>
      <c r="H175">
        <v>7.65</v>
      </c>
      <c r="I175">
        <v>7.65</v>
      </c>
      <c r="J175">
        <v>5.02</v>
      </c>
      <c r="K175">
        <v>2.63</v>
      </c>
      <c r="L175" t="s">
        <v>36</v>
      </c>
      <c r="M175" t="s">
        <v>29</v>
      </c>
      <c r="N175" t="s">
        <v>114</v>
      </c>
    </row>
    <row r="176" spans="1:14">
      <c r="A176" t="s">
        <v>605</v>
      </c>
      <c r="B176" t="s">
        <v>15</v>
      </c>
      <c r="C176" t="s">
        <v>606</v>
      </c>
      <c r="D176" t="s">
        <v>52</v>
      </c>
      <c r="E176" t="s">
        <v>18</v>
      </c>
      <c r="F176" t="s">
        <v>19</v>
      </c>
      <c r="G176">
        <v>2</v>
      </c>
      <c r="H176">
        <v>4.65</v>
      </c>
      <c r="I176">
        <v>9.3</v>
      </c>
      <c r="J176">
        <v>4.36</v>
      </c>
      <c r="K176">
        <v>4.94</v>
      </c>
      <c r="L176" t="s">
        <v>53</v>
      </c>
      <c r="M176" t="s">
        <v>21</v>
      </c>
      <c r="N176" t="s">
        <v>101</v>
      </c>
    </row>
    <row r="177" spans="1:14">
      <c r="A177" t="s">
        <v>607</v>
      </c>
      <c r="B177" t="s">
        <v>608</v>
      </c>
      <c r="C177" t="s">
        <v>609</v>
      </c>
      <c r="D177" t="s">
        <v>52</v>
      </c>
      <c r="E177" t="s">
        <v>74</v>
      </c>
      <c r="F177" t="s">
        <v>92</v>
      </c>
      <c r="G177">
        <v>3</v>
      </c>
      <c r="H177">
        <v>4.92</v>
      </c>
      <c r="I177">
        <v>14.76</v>
      </c>
      <c r="J177">
        <v>9.88</v>
      </c>
      <c r="K177">
        <v>4.88</v>
      </c>
      <c r="L177" t="s">
        <v>20</v>
      </c>
      <c r="M177" t="s">
        <v>21</v>
      </c>
      <c r="N177" t="s">
        <v>599</v>
      </c>
    </row>
    <row r="178" spans="1:14">
      <c r="A178" t="s">
        <v>610</v>
      </c>
      <c r="B178" t="s">
        <v>611</v>
      </c>
      <c r="C178" t="s">
        <v>612</v>
      </c>
      <c r="D178" t="s">
        <v>52</v>
      </c>
      <c r="E178" t="s">
        <v>74</v>
      </c>
      <c r="F178" t="s">
        <v>75</v>
      </c>
      <c r="G178">
        <v>5</v>
      </c>
      <c r="H178">
        <v>5.63</v>
      </c>
      <c r="I178">
        <v>28.15</v>
      </c>
      <c r="J178">
        <v>12.72</v>
      </c>
      <c r="K178">
        <v>15.43</v>
      </c>
      <c r="L178" t="s">
        <v>60</v>
      </c>
      <c r="M178" t="s">
        <v>54</v>
      </c>
      <c r="N178" t="s">
        <v>448</v>
      </c>
    </row>
    <row r="179" spans="1:14">
      <c r="A179" t="s">
        <v>613</v>
      </c>
      <c r="B179" t="s">
        <v>614</v>
      </c>
      <c r="C179" t="s">
        <v>615</v>
      </c>
      <c r="D179" t="s">
        <v>17</v>
      </c>
      <c r="E179" t="s">
        <v>74</v>
      </c>
      <c r="F179" t="s">
        <v>75</v>
      </c>
      <c r="G179">
        <v>4</v>
      </c>
      <c r="H179">
        <v>3.4</v>
      </c>
      <c r="I179">
        <v>13.6</v>
      </c>
      <c r="J179">
        <v>7.15</v>
      </c>
      <c r="K179">
        <v>6.45</v>
      </c>
      <c r="L179" t="s">
        <v>53</v>
      </c>
      <c r="M179" t="s">
        <v>54</v>
      </c>
      <c r="N179" t="s">
        <v>513</v>
      </c>
    </row>
    <row r="180" spans="1:14">
      <c r="A180" t="s">
        <v>616</v>
      </c>
      <c r="B180" t="s">
        <v>617</v>
      </c>
      <c r="C180" t="s">
        <v>618</v>
      </c>
      <c r="D180" t="s">
        <v>17</v>
      </c>
      <c r="E180" t="s">
        <v>34</v>
      </c>
      <c r="F180" t="s">
        <v>35</v>
      </c>
      <c r="G180">
        <v>3</v>
      </c>
      <c r="H180">
        <v>7.73</v>
      </c>
      <c r="I180">
        <v>23.19</v>
      </c>
      <c r="J180">
        <v>12.74</v>
      </c>
      <c r="K180">
        <v>10.45</v>
      </c>
      <c r="L180" t="s">
        <v>53</v>
      </c>
      <c r="M180" t="s">
        <v>29</v>
      </c>
      <c r="N180" t="s">
        <v>365</v>
      </c>
    </row>
    <row r="181" spans="1:14">
      <c r="A181" t="s">
        <v>619</v>
      </c>
      <c r="B181" t="s">
        <v>77</v>
      </c>
      <c r="C181" t="s">
        <v>340</v>
      </c>
      <c r="D181" t="s">
        <v>52</v>
      </c>
      <c r="E181" t="s">
        <v>18</v>
      </c>
      <c r="F181" t="s">
        <v>41</v>
      </c>
      <c r="G181">
        <v>1</v>
      </c>
      <c r="H181">
        <v>2.72</v>
      </c>
      <c r="I181">
        <v>2.72</v>
      </c>
      <c r="J181">
        <v>1.26</v>
      </c>
      <c r="K181">
        <v>1.46</v>
      </c>
      <c r="L181" t="s">
        <v>60</v>
      </c>
      <c r="M181" t="s">
        <v>29</v>
      </c>
      <c r="N181" t="s">
        <v>139</v>
      </c>
    </row>
    <row r="182" spans="1:14">
      <c r="A182" t="s">
        <v>620</v>
      </c>
      <c r="B182" t="s">
        <v>77</v>
      </c>
      <c r="C182" t="s">
        <v>372</v>
      </c>
      <c r="D182" t="s">
        <v>46</v>
      </c>
      <c r="E182" t="s">
        <v>18</v>
      </c>
      <c r="F182" t="s">
        <v>19</v>
      </c>
      <c r="G182">
        <v>1</v>
      </c>
      <c r="H182">
        <v>4.23</v>
      </c>
      <c r="I182">
        <v>4.23</v>
      </c>
      <c r="J182">
        <v>2.12</v>
      </c>
      <c r="K182">
        <v>2.11</v>
      </c>
      <c r="L182" t="s">
        <v>53</v>
      </c>
      <c r="M182" t="s">
        <v>54</v>
      </c>
      <c r="N182" t="s">
        <v>55</v>
      </c>
    </row>
    <row r="183" spans="1:14">
      <c r="A183" t="s">
        <v>621</v>
      </c>
      <c r="B183" t="s">
        <v>622</v>
      </c>
      <c r="C183" t="s">
        <v>623</v>
      </c>
      <c r="D183" t="s">
        <v>26</v>
      </c>
      <c r="E183" t="s">
        <v>34</v>
      </c>
      <c r="F183" t="s">
        <v>130</v>
      </c>
      <c r="G183">
        <v>4</v>
      </c>
      <c r="H183">
        <v>5.11</v>
      </c>
      <c r="I183">
        <v>20.44</v>
      </c>
      <c r="J183">
        <v>13.61</v>
      </c>
      <c r="K183">
        <v>6.83</v>
      </c>
      <c r="L183" t="s">
        <v>53</v>
      </c>
      <c r="M183" t="s">
        <v>29</v>
      </c>
      <c r="N183" t="s">
        <v>79</v>
      </c>
    </row>
    <row r="184" spans="1:14">
      <c r="A184" t="s">
        <v>624</v>
      </c>
      <c r="B184" t="s">
        <v>625</v>
      </c>
      <c r="C184" t="s">
        <v>626</v>
      </c>
      <c r="D184" t="s">
        <v>17</v>
      </c>
      <c r="E184" t="s">
        <v>18</v>
      </c>
      <c r="F184" t="s">
        <v>41</v>
      </c>
      <c r="G184">
        <v>5</v>
      </c>
      <c r="H184">
        <v>4.87</v>
      </c>
      <c r="I184">
        <v>24.35</v>
      </c>
      <c r="J184">
        <v>11.44</v>
      </c>
      <c r="K184">
        <v>12.91</v>
      </c>
      <c r="L184" t="s">
        <v>53</v>
      </c>
      <c r="M184" t="s">
        <v>21</v>
      </c>
      <c r="N184" t="s">
        <v>223</v>
      </c>
    </row>
    <row r="185" spans="1:14">
      <c r="A185" t="s">
        <v>627</v>
      </c>
      <c r="B185" t="s">
        <v>628</v>
      </c>
      <c r="C185" t="s">
        <v>629</v>
      </c>
      <c r="D185" t="s">
        <v>69</v>
      </c>
      <c r="E185" t="s">
        <v>18</v>
      </c>
      <c r="F185" t="s">
        <v>146</v>
      </c>
      <c r="G185">
        <v>3</v>
      </c>
      <c r="H185">
        <v>7.27</v>
      </c>
      <c r="I185">
        <v>21.81</v>
      </c>
      <c r="J185">
        <v>14.79</v>
      </c>
      <c r="K185">
        <v>7.02</v>
      </c>
      <c r="L185" t="s">
        <v>60</v>
      </c>
      <c r="M185" t="s">
        <v>29</v>
      </c>
      <c r="N185" t="s">
        <v>48</v>
      </c>
    </row>
    <row r="186" spans="1:14">
      <c r="A186" t="s">
        <v>630</v>
      </c>
      <c r="B186" t="s">
        <v>631</v>
      </c>
      <c r="C186" t="s">
        <v>632</v>
      </c>
      <c r="D186" t="s">
        <v>52</v>
      </c>
      <c r="E186" t="s">
        <v>18</v>
      </c>
      <c r="F186" t="s">
        <v>146</v>
      </c>
      <c r="G186">
        <v>1</v>
      </c>
      <c r="H186">
        <v>5.43</v>
      </c>
      <c r="I186">
        <v>5.43</v>
      </c>
      <c r="J186">
        <v>3.6</v>
      </c>
      <c r="K186">
        <v>1.83</v>
      </c>
      <c r="L186" t="s">
        <v>53</v>
      </c>
      <c r="M186" t="s">
        <v>21</v>
      </c>
      <c r="N186" t="s">
        <v>61</v>
      </c>
    </row>
    <row r="187" spans="1:14">
      <c r="A187" t="s">
        <v>633</v>
      </c>
      <c r="B187" t="s">
        <v>634</v>
      </c>
      <c r="C187" t="s">
        <v>635</v>
      </c>
      <c r="D187" t="s">
        <v>26</v>
      </c>
      <c r="E187" t="s">
        <v>18</v>
      </c>
      <c r="F187" t="s">
        <v>19</v>
      </c>
      <c r="G187">
        <v>2</v>
      </c>
      <c r="H187">
        <v>4.84</v>
      </c>
      <c r="I187">
        <v>9.68</v>
      </c>
      <c r="J187">
        <v>5.02</v>
      </c>
      <c r="K187">
        <v>4.66</v>
      </c>
      <c r="L187" t="s">
        <v>20</v>
      </c>
      <c r="M187" t="s">
        <v>54</v>
      </c>
      <c r="N187" t="s">
        <v>30</v>
      </c>
    </row>
    <row r="188" spans="1:14">
      <c r="A188" t="s">
        <v>636</v>
      </c>
      <c r="B188" t="s">
        <v>360</v>
      </c>
      <c r="C188" t="s">
        <v>637</v>
      </c>
      <c r="D188" t="s">
        <v>46</v>
      </c>
      <c r="E188" t="s">
        <v>18</v>
      </c>
      <c r="F188" t="s">
        <v>19</v>
      </c>
      <c r="G188">
        <v>3</v>
      </c>
      <c r="H188">
        <v>4.06</v>
      </c>
      <c r="I188">
        <v>12.18</v>
      </c>
      <c r="J188">
        <v>6.58</v>
      </c>
      <c r="K188">
        <v>5.6</v>
      </c>
      <c r="L188" t="s">
        <v>36</v>
      </c>
      <c r="M188" t="s">
        <v>21</v>
      </c>
      <c r="N188" t="s">
        <v>177</v>
      </c>
    </row>
    <row r="189" spans="1:14">
      <c r="A189" t="s">
        <v>638</v>
      </c>
      <c r="B189" t="s">
        <v>639</v>
      </c>
      <c r="C189" t="s">
        <v>640</v>
      </c>
      <c r="D189" t="s">
        <v>26</v>
      </c>
      <c r="E189" t="s">
        <v>34</v>
      </c>
      <c r="F189" t="s">
        <v>135</v>
      </c>
      <c r="G189">
        <v>1</v>
      </c>
      <c r="H189">
        <v>6.57</v>
      </c>
      <c r="I189">
        <v>6.57</v>
      </c>
      <c r="J189">
        <v>3.37</v>
      </c>
      <c r="K189">
        <v>3.2</v>
      </c>
      <c r="L189" t="s">
        <v>20</v>
      </c>
      <c r="M189" t="s">
        <v>21</v>
      </c>
      <c r="N189" t="s">
        <v>131</v>
      </c>
    </row>
    <row r="190" spans="1:14">
      <c r="A190" t="s">
        <v>641</v>
      </c>
      <c r="B190" t="s">
        <v>614</v>
      </c>
      <c r="C190" t="s">
        <v>642</v>
      </c>
      <c r="D190" t="s">
        <v>26</v>
      </c>
      <c r="E190" t="s">
        <v>27</v>
      </c>
      <c r="F190" t="s">
        <v>70</v>
      </c>
      <c r="G190">
        <v>2</v>
      </c>
      <c r="H190">
        <v>4.48</v>
      </c>
      <c r="I190">
        <v>8.96</v>
      </c>
      <c r="J190">
        <v>5.89</v>
      </c>
      <c r="K190">
        <v>3.07</v>
      </c>
      <c r="L190" t="s">
        <v>36</v>
      </c>
      <c r="M190" t="s">
        <v>29</v>
      </c>
      <c r="N190" t="s">
        <v>174</v>
      </c>
    </row>
    <row r="191" spans="1:14">
      <c r="A191" t="s">
        <v>643</v>
      </c>
      <c r="B191" t="s">
        <v>541</v>
      </c>
      <c r="C191" t="s">
        <v>609</v>
      </c>
      <c r="D191" t="s">
        <v>26</v>
      </c>
      <c r="E191" t="s">
        <v>34</v>
      </c>
      <c r="F191" t="s">
        <v>35</v>
      </c>
      <c r="G191">
        <v>3</v>
      </c>
      <c r="H191">
        <v>4.53</v>
      </c>
      <c r="I191">
        <v>13.59</v>
      </c>
      <c r="J191">
        <v>7.31</v>
      </c>
      <c r="K191">
        <v>6.28</v>
      </c>
      <c r="L191" t="s">
        <v>36</v>
      </c>
      <c r="M191" t="s">
        <v>29</v>
      </c>
      <c r="N191" t="s">
        <v>644</v>
      </c>
    </row>
    <row r="192" spans="1:14">
      <c r="A192" t="s">
        <v>645</v>
      </c>
      <c r="B192" t="s">
        <v>189</v>
      </c>
      <c r="C192" t="s">
        <v>646</v>
      </c>
      <c r="D192" t="s">
        <v>26</v>
      </c>
      <c r="E192" t="s">
        <v>74</v>
      </c>
      <c r="F192" t="s">
        <v>92</v>
      </c>
      <c r="G192">
        <v>4</v>
      </c>
      <c r="H192">
        <v>6.22</v>
      </c>
      <c r="I192">
        <v>24.88</v>
      </c>
      <c r="J192">
        <v>13.93</v>
      </c>
      <c r="K192">
        <v>10.95</v>
      </c>
      <c r="L192" t="s">
        <v>20</v>
      </c>
      <c r="M192" t="s">
        <v>29</v>
      </c>
      <c r="N192" t="s">
        <v>470</v>
      </c>
    </row>
    <row r="193" spans="1:14">
      <c r="A193" t="s">
        <v>647</v>
      </c>
      <c r="B193" t="s">
        <v>648</v>
      </c>
      <c r="C193" t="s">
        <v>649</v>
      </c>
      <c r="D193" t="s">
        <v>69</v>
      </c>
      <c r="E193" t="s">
        <v>18</v>
      </c>
      <c r="F193" t="s">
        <v>146</v>
      </c>
      <c r="G193">
        <v>2</v>
      </c>
      <c r="H193">
        <v>2.72</v>
      </c>
      <c r="I193">
        <v>5.44</v>
      </c>
      <c r="J193">
        <v>3.74</v>
      </c>
      <c r="K193">
        <v>1.7</v>
      </c>
      <c r="L193" t="s">
        <v>36</v>
      </c>
      <c r="M193" t="s">
        <v>29</v>
      </c>
      <c r="N193" t="s">
        <v>470</v>
      </c>
    </row>
    <row r="194" spans="1:14">
      <c r="A194" t="s">
        <v>650</v>
      </c>
      <c r="B194" t="s">
        <v>461</v>
      </c>
      <c r="C194" t="s">
        <v>651</v>
      </c>
      <c r="D194" t="s">
        <v>26</v>
      </c>
      <c r="E194" t="s">
        <v>34</v>
      </c>
      <c r="F194" t="s">
        <v>130</v>
      </c>
      <c r="G194">
        <v>1</v>
      </c>
      <c r="H194">
        <v>6.9</v>
      </c>
      <c r="I194">
        <v>6.9</v>
      </c>
      <c r="J194">
        <v>4.47</v>
      </c>
      <c r="K194">
        <v>2.43</v>
      </c>
      <c r="L194" t="s">
        <v>20</v>
      </c>
      <c r="M194" t="s">
        <v>29</v>
      </c>
      <c r="N194" t="s">
        <v>550</v>
      </c>
    </row>
    <row r="195" spans="1:14">
      <c r="A195" t="s">
        <v>652</v>
      </c>
      <c r="B195" t="s">
        <v>653</v>
      </c>
      <c r="C195" t="s">
        <v>654</v>
      </c>
      <c r="D195" t="s">
        <v>69</v>
      </c>
      <c r="E195" t="s">
        <v>34</v>
      </c>
      <c r="F195" t="s">
        <v>47</v>
      </c>
      <c r="G195">
        <v>1</v>
      </c>
      <c r="H195">
        <v>3.82</v>
      </c>
      <c r="I195">
        <v>3.82</v>
      </c>
      <c r="J195">
        <v>2.33</v>
      </c>
      <c r="K195">
        <v>1.49</v>
      </c>
      <c r="L195" t="s">
        <v>36</v>
      </c>
      <c r="M195" t="s">
        <v>21</v>
      </c>
      <c r="N195" t="s">
        <v>560</v>
      </c>
    </row>
    <row r="196" spans="1:14">
      <c r="A196" t="s">
        <v>655</v>
      </c>
      <c r="B196" t="s">
        <v>656</v>
      </c>
      <c r="C196" t="s">
        <v>657</v>
      </c>
      <c r="D196" t="s">
        <v>17</v>
      </c>
      <c r="E196" t="s">
        <v>27</v>
      </c>
      <c r="F196" t="s">
        <v>28</v>
      </c>
      <c r="G196">
        <v>3</v>
      </c>
      <c r="H196">
        <v>7.23</v>
      </c>
      <c r="I196">
        <v>21.69</v>
      </c>
      <c r="J196">
        <v>14.35</v>
      </c>
      <c r="K196">
        <v>7.34</v>
      </c>
      <c r="L196" t="s">
        <v>53</v>
      </c>
      <c r="M196" t="s">
        <v>54</v>
      </c>
      <c r="N196" t="s">
        <v>183</v>
      </c>
    </row>
    <row r="197" spans="1:14">
      <c r="A197" t="s">
        <v>658</v>
      </c>
      <c r="B197" t="s">
        <v>659</v>
      </c>
      <c r="C197" t="s">
        <v>660</v>
      </c>
      <c r="D197" t="s">
        <v>52</v>
      </c>
      <c r="E197" t="s">
        <v>27</v>
      </c>
      <c r="F197" t="s">
        <v>28</v>
      </c>
      <c r="G197">
        <v>2</v>
      </c>
      <c r="H197">
        <v>3.61</v>
      </c>
      <c r="I197">
        <v>7.22</v>
      </c>
      <c r="J197">
        <v>3.61</v>
      </c>
      <c r="K197">
        <v>3.61</v>
      </c>
      <c r="L197" t="s">
        <v>60</v>
      </c>
      <c r="M197" t="s">
        <v>21</v>
      </c>
      <c r="N197" t="s">
        <v>401</v>
      </c>
    </row>
    <row r="198" spans="1:14">
      <c r="A198" t="s">
        <v>661</v>
      </c>
      <c r="B198" t="s">
        <v>266</v>
      </c>
      <c r="C198" t="s">
        <v>662</v>
      </c>
      <c r="D198" t="s">
        <v>46</v>
      </c>
      <c r="E198" t="s">
        <v>74</v>
      </c>
      <c r="F198" t="s">
        <v>75</v>
      </c>
      <c r="G198">
        <v>4</v>
      </c>
      <c r="H198">
        <v>6.13</v>
      </c>
      <c r="I198">
        <v>24.52</v>
      </c>
      <c r="J198">
        <v>16.33</v>
      </c>
      <c r="K198">
        <v>8.19</v>
      </c>
      <c r="L198" t="s">
        <v>20</v>
      </c>
      <c r="M198" t="s">
        <v>29</v>
      </c>
      <c r="N198" t="s">
        <v>183</v>
      </c>
    </row>
    <row r="199" spans="1:14">
      <c r="A199" t="s">
        <v>663</v>
      </c>
      <c r="B199" t="s">
        <v>664</v>
      </c>
      <c r="C199" t="s">
        <v>665</v>
      </c>
      <c r="D199" t="s">
        <v>26</v>
      </c>
      <c r="E199" t="s">
        <v>18</v>
      </c>
      <c r="F199" t="s">
        <v>19</v>
      </c>
      <c r="G199">
        <v>4</v>
      </c>
      <c r="H199">
        <v>6.36</v>
      </c>
      <c r="I199">
        <v>25.44</v>
      </c>
      <c r="J199">
        <v>17.7</v>
      </c>
      <c r="K199">
        <v>7.74</v>
      </c>
      <c r="L199" t="s">
        <v>53</v>
      </c>
      <c r="M199" t="s">
        <v>54</v>
      </c>
      <c r="N199" t="s">
        <v>238</v>
      </c>
    </row>
    <row r="200" spans="1:14">
      <c r="A200" t="s">
        <v>666</v>
      </c>
      <c r="B200" t="s">
        <v>667</v>
      </c>
      <c r="C200" t="s">
        <v>668</v>
      </c>
      <c r="D200" t="s">
        <v>46</v>
      </c>
      <c r="E200" t="s">
        <v>34</v>
      </c>
      <c r="F200" t="s">
        <v>130</v>
      </c>
      <c r="G200">
        <v>2</v>
      </c>
      <c r="H200">
        <v>3.61</v>
      </c>
      <c r="I200">
        <v>7.22</v>
      </c>
      <c r="J200">
        <v>4.65</v>
      </c>
      <c r="K200">
        <v>2.57</v>
      </c>
      <c r="L200" t="s">
        <v>20</v>
      </c>
      <c r="M200" t="s">
        <v>21</v>
      </c>
      <c r="N200" t="s">
        <v>147</v>
      </c>
    </row>
    <row r="201" spans="1:14">
      <c r="A201" t="s">
        <v>669</v>
      </c>
      <c r="B201" t="s">
        <v>670</v>
      </c>
      <c r="C201" t="s">
        <v>671</v>
      </c>
      <c r="D201" t="s">
        <v>69</v>
      </c>
      <c r="E201" t="s">
        <v>27</v>
      </c>
      <c r="F201" t="s">
        <v>125</v>
      </c>
      <c r="G201">
        <v>2</v>
      </c>
      <c r="H201">
        <v>3.24</v>
      </c>
      <c r="I201">
        <v>6.48</v>
      </c>
      <c r="J201">
        <v>3.84</v>
      </c>
      <c r="K201">
        <v>2.64</v>
      </c>
      <c r="L201" t="s">
        <v>53</v>
      </c>
      <c r="M201" t="s">
        <v>29</v>
      </c>
      <c r="N201" t="s">
        <v>242</v>
      </c>
    </row>
    <row r="202" spans="1:14">
      <c r="A202" t="s">
        <v>672</v>
      </c>
      <c r="B202" t="s">
        <v>673</v>
      </c>
      <c r="C202" t="s">
        <v>674</v>
      </c>
      <c r="D202" t="s">
        <v>69</v>
      </c>
      <c r="E202" t="s">
        <v>27</v>
      </c>
      <c r="F202" t="s">
        <v>70</v>
      </c>
      <c r="G202">
        <v>1</v>
      </c>
      <c r="H202">
        <v>2.67</v>
      </c>
      <c r="I202">
        <v>2.67</v>
      </c>
      <c r="J202">
        <v>1.51</v>
      </c>
      <c r="K202">
        <v>1.16</v>
      </c>
      <c r="L202" t="s">
        <v>20</v>
      </c>
      <c r="M202" t="s">
        <v>54</v>
      </c>
      <c r="N202" t="s">
        <v>518</v>
      </c>
    </row>
    <row r="203" spans="1:14">
      <c r="A203" t="s">
        <v>675</v>
      </c>
      <c r="B203" t="s">
        <v>475</v>
      </c>
      <c r="C203" t="s">
        <v>676</v>
      </c>
      <c r="D203" t="s">
        <v>46</v>
      </c>
      <c r="E203" t="s">
        <v>34</v>
      </c>
      <c r="F203" t="s">
        <v>130</v>
      </c>
      <c r="G203">
        <v>1</v>
      </c>
      <c r="H203">
        <v>4.41</v>
      </c>
      <c r="I203">
        <v>4.41</v>
      </c>
      <c r="J203">
        <v>2.13</v>
      </c>
      <c r="K203">
        <v>2.28</v>
      </c>
      <c r="L203" t="s">
        <v>36</v>
      </c>
      <c r="M203" t="s">
        <v>29</v>
      </c>
      <c r="N203" t="s">
        <v>580</v>
      </c>
    </row>
    <row r="204" spans="1:14">
      <c r="A204" t="s">
        <v>677</v>
      </c>
      <c r="B204" t="s">
        <v>678</v>
      </c>
      <c r="C204" t="s">
        <v>679</v>
      </c>
      <c r="D204" t="s">
        <v>17</v>
      </c>
      <c r="E204" t="s">
        <v>18</v>
      </c>
      <c r="F204" t="s">
        <v>41</v>
      </c>
      <c r="G204">
        <v>4</v>
      </c>
      <c r="H204">
        <v>3.49</v>
      </c>
      <c r="I204">
        <v>13.96</v>
      </c>
      <c r="J204">
        <v>7.67</v>
      </c>
      <c r="K204">
        <v>6.29</v>
      </c>
      <c r="L204" t="s">
        <v>20</v>
      </c>
      <c r="M204" t="s">
        <v>29</v>
      </c>
      <c r="N204" t="s">
        <v>183</v>
      </c>
    </row>
    <row r="205" spans="1:14">
      <c r="A205" t="s">
        <v>680</v>
      </c>
      <c r="B205" t="s">
        <v>681</v>
      </c>
      <c r="C205" t="s">
        <v>682</v>
      </c>
      <c r="D205" t="s">
        <v>69</v>
      </c>
      <c r="E205" t="s">
        <v>18</v>
      </c>
      <c r="F205" t="s">
        <v>41</v>
      </c>
      <c r="G205">
        <v>1</v>
      </c>
      <c r="H205">
        <v>6.89</v>
      </c>
      <c r="I205">
        <v>6.89</v>
      </c>
      <c r="J205">
        <v>3.86</v>
      </c>
      <c r="K205">
        <v>3.03</v>
      </c>
      <c r="L205" t="s">
        <v>60</v>
      </c>
      <c r="M205" t="s">
        <v>29</v>
      </c>
      <c r="N205" t="s">
        <v>187</v>
      </c>
    </row>
    <row r="206" spans="1:14">
      <c r="A206" t="s">
        <v>683</v>
      </c>
      <c r="B206" t="s">
        <v>684</v>
      </c>
      <c r="C206" t="s">
        <v>685</v>
      </c>
      <c r="D206" t="s">
        <v>52</v>
      </c>
      <c r="E206" t="s">
        <v>18</v>
      </c>
      <c r="F206" t="s">
        <v>146</v>
      </c>
      <c r="G206">
        <v>5</v>
      </c>
      <c r="H206">
        <v>7.27</v>
      </c>
      <c r="I206">
        <v>36.35</v>
      </c>
      <c r="J206">
        <v>19.6</v>
      </c>
      <c r="K206">
        <v>16.75</v>
      </c>
      <c r="L206" t="s">
        <v>20</v>
      </c>
      <c r="M206" t="s">
        <v>29</v>
      </c>
      <c r="N206" t="s">
        <v>470</v>
      </c>
    </row>
    <row r="207" spans="1:14">
      <c r="A207" t="s">
        <v>686</v>
      </c>
      <c r="B207" t="s">
        <v>687</v>
      </c>
      <c r="C207" t="s">
        <v>500</v>
      </c>
      <c r="D207" t="s">
        <v>69</v>
      </c>
      <c r="E207" t="s">
        <v>18</v>
      </c>
      <c r="F207" t="s">
        <v>146</v>
      </c>
      <c r="G207">
        <v>5</v>
      </c>
      <c r="H207">
        <v>4.75</v>
      </c>
      <c r="I207">
        <v>23.75</v>
      </c>
      <c r="J207">
        <v>11.51</v>
      </c>
      <c r="K207">
        <v>12.24</v>
      </c>
      <c r="L207" t="s">
        <v>60</v>
      </c>
      <c r="M207" t="s">
        <v>21</v>
      </c>
      <c r="N207" t="s">
        <v>30</v>
      </c>
    </row>
    <row r="208" spans="1:14">
      <c r="A208" t="s">
        <v>688</v>
      </c>
      <c r="B208" t="s">
        <v>689</v>
      </c>
      <c r="C208" t="s">
        <v>690</v>
      </c>
      <c r="D208" t="s">
        <v>46</v>
      </c>
      <c r="E208" t="s">
        <v>74</v>
      </c>
      <c r="F208" t="s">
        <v>83</v>
      </c>
      <c r="G208">
        <v>2</v>
      </c>
      <c r="H208">
        <v>7.2</v>
      </c>
      <c r="I208">
        <v>14.4</v>
      </c>
      <c r="J208">
        <v>6.72</v>
      </c>
      <c r="K208">
        <v>7.68</v>
      </c>
      <c r="L208" t="s">
        <v>20</v>
      </c>
      <c r="M208" t="s">
        <v>54</v>
      </c>
      <c r="N208" t="s">
        <v>37</v>
      </c>
    </row>
    <row r="209" spans="1:14">
      <c r="A209" t="s">
        <v>691</v>
      </c>
      <c r="B209" t="s">
        <v>692</v>
      </c>
      <c r="C209" t="s">
        <v>693</v>
      </c>
      <c r="D209" t="s">
        <v>52</v>
      </c>
      <c r="E209" t="s">
        <v>34</v>
      </c>
      <c r="F209" t="s">
        <v>59</v>
      </c>
      <c r="G209">
        <v>2</v>
      </c>
      <c r="H209">
        <v>4.9</v>
      </c>
      <c r="I209">
        <v>9.8</v>
      </c>
      <c r="J209">
        <v>4.9</v>
      </c>
      <c r="K209">
        <v>4.9</v>
      </c>
      <c r="L209" t="s">
        <v>36</v>
      </c>
      <c r="M209" t="s">
        <v>21</v>
      </c>
      <c r="N209" t="s">
        <v>216</v>
      </c>
    </row>
    <row r="210" spans="1:14">
      <c r="A210" t="s">
        <v>694</v>
      </c>
      <c r="B210" t="s">
        <v>328</v>
      </c>
      <c r="C210" t="s">
        <v>695</v>
      </c>
      <c r="D210" t="s">
        <v>46</v>
      </c>
      <c r="E210" t="s">
        <v>74</v>
      </c>
      <c r="F210" t="s">
        <v>75</v>
      </c>
      <c r="G210">
        <v>1</v>
      </c>
      <c r="H210">
        <v>7.99</v>
      </c>
      <c r="I210">
        <v>7.99</v>
      </c>
      <c r="J210">
        <v>5.58</v>
      </c>
      <c r="K210">
        <v>2.41</v>
      </c>
      <c r="L210" t="s">
        <v>53</v>
      </c>
      <c r="M210" t="s">
        <v>29</v>
      </c>
      <c r="N210" t="s">
        <v>448</v>
      </c>
    </row>
    <row r="211" spans="1:14">
      <c r="A211" t="s">
        <v>696</v>
      </c>
      <c r="B211" t="s">
        <v>697</v>
      </c>
      <c r="C211" t="s">
        <v>226</v>
      </c>
      <c r="D211" t="s">
        <v>26</v>
      </c>
      <c r="E211" t="s">
        <v>27</v>
      </c>
      <c r="F211" t="s">
        <v>169</v>
      </c>
      <c r="G211">
        <v>3</v>
      </c>
      <c r="H211">
        <v>7.8</v>
      </c>
      <c r="I211">
        <v>23.4</v>
      </c>
      <c r="J211">
        <v>14.74</v>
      </c>
      <c r="K211">
        <v>8.66</v>
      </c>
      <c r="L211" t="s">
        <v>60</v>
      </c>
      <c r="M211" t="s">
        <v>54</v>
      </c>
      <c r="N211" t="s">
        <v>93</v>
      </c>
    </row>
    <row r="212" spans="1:14">
      <c r="A212" t="s">
        <v>698</v>
      </c>
      <c r="B212" t="s">
        <v>699</v>
      </c>
      <c r="C212" t="s">
        <v>158</v>
      </c>
      <c r="D212" t="s">
        <v>26</v>
      </c>
      <c r="E212" t="s">
        <v>34</v>
      </c>
      <c r="F212" t="s">
        <v>35</v>
      </c>
      <c r="G212">
        <v>3</v>
      </c>
      <c r="H212">
        <v>5.74</v>
      </c>
      <c r="I212">
        <v>17.22</v>
      </c>
      <c r="J212">
        <v>11.99</v>
      </c>
      <c r="K212">
        <v>5.23</v>
      </c>
      <c r="L212" t="s">
        <v>53</v>
      </c>
      <c r="M212" t="s">
        <v>54</v>
      </c>
      <c r="N212" t="s">
        <v>93</v>
      </c>
    </row>
    <row r="213" spans="1:14">
      <c r="A213" t="s">
        <v>700</v>
      </c>
      <c r="B213" t="s">
        <v>701</v>
      </c>
      <c r="C213" t="s">
        <v>702</v>
      </c>
      <c r="D213" t="s">
        <v>52</v>
      </c>
      <c r="E213" t="s">
        <v>18</v>
      </c>
      <c r="F213" t="s">
        <v>19</v>
      </c>
      <c r="G213">
        <v>3</v>
      </c>
      <c r="H213">
        <v>3.24</v>
      </c>
      <c r="I213">
        <v>9.72</v>
      </c>
      <c r="J213">
        <v>5.16</v>
      </c>
      <c r="K213">
        <v>4.56</v>
      </c>
      <c r="L213" t="s">
        <v>36</v>
      </c>
      <c r="M213" t="s">
        <v>21</v>
      </c>
      <c r="N213" t="s">
        <v>48</v>
      </c>
    </row>
    <row r="214" spans="1:14">
      <c r="A214" t="s">
        <v>703</v>
      </c>
      <c r="B214" t="s">
        <v>625</v>
      </c>
      <c r="C214" t="s">
        <v>704</v>
      </c>
      <c r="D214" t="s">
        <v>46</v>
      </c>
      <c r="E214" t="s">
        <v>18</v>
      </c>
      <c r="F214" t="s">
        <v>146</v>
      </c>
      <c r="G214">
        <v>5</v>
      </c>
      <c r="H214">
        <v>7.4</v>
      </c>
      <c r="I214">
        <v>37</v>
      </c>
      <c r="J214">
        <v>19.26</v>
      </c>
      <c r="K214">
        <v>17.74</v>
      </c>
      <c r="L214" t="s">
        <v>20</v>
      </c>
      <c r="M214" t="s">
        <v>54</v>
      </c>
      <c r="N214" t="s">
        <v>155</v>
      </c>
    </row>
    <row r="215" spans="1:14">
      <c r="A215" t="s">
        <v>705</v>
      </c>
      <c r="B215" t="s">
        <v>232</v>
      </c>
      <c r="C215" t="s">
        <v>706</v>
      </c>
      <c r="D215" t="s">
        <v>52</v>
      </c>
      <c r="E215" t="s">
        <v>18</v>
      </c>
      <c r="F215" t="s">
        <v>41</v>
      </c>
      <c r="G215">
        <v>5</v>
      </c>
      <c r="H215">
        <v>7.19</v>
      </c>
      <c r="I215">
        <v>35.95</v>
      </c>
      <c r="J215">
        <v>23.1</v>
      </c>
      <c r="K215">
        <v>12.85</v>
      </c>
      <c r="L215" t="s">
        <v>53</v>
      </c>
      <c r="M215" t="s">
        <v>29</v>
      </c>
      <c r="N215" t="s">
        <v>352</v>
      </c>
    </row>
    <row r="216" spans="1:14">
      <c r="A216" t="s">
        <v>707</v>
      </c>
      <c r="B216" t="s">
        <v>701</v>
      </c>
      <c r="C216" t="s">
        <v>708</v>
      </c>
      <c r="D216" t="s">
        <v>26</v>
      </c>
      <c r="E216" t="s">
        <v>18</v>
      </c>
      <c r="F216" t="s">
        <v>19</v>
      </c>
      <c r="G216">
        <v>5</v>
      </c>
      <c r="H216">
        <v>4.93</v>
      </c>
      <c r="I216">
        <v>24.65</v>
      </c>
      <c r="J216">
        <v>15.34</v>
      </c>
      <c r="K216">
        <v>9.31</v>
      </c>
      <c r="L216" t="s">
        <v>53</v>
      </c>
      <c r="M216" t="s">
        <v>54</v>
      </c>
      <c r="N216" t="s">
        <v>518</v>
      </c>
    </row>
    <row r="217" spans="1:14">
      <c r="A217" t="s">
        <v>709</v>
      </c>
      <c r="B217" t="s">
        <v>710</v>
      </c>
      <c r="C217" t="s">
        <v>711</v>
      </c>
      <c r="D217" t="s">
        <v>46</v>
      </c>
      <c r="E217" t="s">
        <v>74</v>
      </c>
      <c r="F217" t="s">
        <v>83</v>
      </c>
      <c r="G217">
        <v>2</v>
      </c>
      <c r="H217">
        <v>7.49</v>
      </c>
      <c r="I217">
        <v>14.98</v>
      </c>
      <c r="J217">
        <v>8.5</v>
      </c>
      <c r="K217">
        <v>6.48</v>
      </c>
      <c r="L217" t="s">
        <v>53</v>
      </c>
      <c r="M217" t="s">
        <v>21</v>
      </c>
      <c r="N217" t="s">
        <v>534</v>
      </c>
    </row>
    <row r="218" spans="1:14">
      <c r="A218" t="s">
        <v>712</v>
      </c>
      <c r="B218" t="s">
        <v>713</v>
      </c>
      <c r="C218" t="s">
        <v>714</v>
      </c>
      <c r="D218" t="s">
        <v>52</v>
      </c>
      <c r="E218" t="s">
        <v>74</v>
      </c>
      <c r="F218" t="s">
        <v>92</v>
      </c>
      <c r="G218">
        <v>4</v>
      </c>
      <c r="H218">
        <v>5.65</v>
      </c>
      <c r="I218">
        <v>22.6</v>
      </c>
      <c r="J218">
        <v>13.86</v>
      </c>
      <c r="K218">
        <v>8.74</v>
      </c>
      <c r="L218" t="s">
        <v>53</v>
      </c>
      <c r="M218" t="s">
        <v>21</v>
      </c>
      <c r="N218" t="s">
        <v>30</v>
      </c>
    </row>
    <row r="219" spans="1:14">
      <c r="A219" t="s">
        <v>715</v>
      </c>
      <c r="B219" t="s">
        <v>32</v>
      </c>
      <c r="C219" t="s">
        <v>716</v>
      </c>
      <c r="D219" t="s">
        <v>69</v>
      </c>
      <c r="E219" t="s">
        <v>74</v>
      </c>
      <c r="F219" t="s">
        <v>92</v>
      </c>
      <c r="G219">
        <v>2</v>
      </c>
      <c r="H219">
        <v>3.63</v>
      </c>
      <c r="I219">
        <v>7.26</v>
      </c>
      <c r="J219">
        <v>4.54</v>
      </c>
      <c r="K219">
        <v>2.72</v>
      </c>
      <c r="L219" t="s">
        <v>53</v>
      </c>
      <c r="M219" t="s">
        <v>29</v>
      </c>
      <c r="N219" t="s">
        <v>303</v>
      </c>
    </row>
    <row r="220" spans="1:14">
      <c r="A220" t="s">
        <v>717</v>
      </c>
      <c r="B220" t="s">
        <v>541</v>
      </c>
      <c r="C220" t="s">
        <v>718</v>
      </c>
      <c r="D220" t="s">
        <v>69</v>
      </c>
      <c r="E220" t="s">
        <v>34</v>
      </c>
      <c r="F220" t="s">
        <v>35</v>
      </c>
      <c r="G220">
        <v>5</v>
      </c>
      <c r="H220">
        <v>4.63</v>
      </c>
      <c r="I220">
        <v>23.15</v>
      </c>
      <c r="J220">
        <v>14.27</v>
      </c>
      <c r="K220">
        <v>8.88</v>
      </c>
      <c r="L220" t="s">
        <v>60</v>
      </c>
      <c r="M220" t="s">
        <v>54</v>
      </c>
      <c r="N220" t="s">
        <v>326</v>
      </c>
    </row>
    <row r="221" spans="1:14">
      <c r="A221" t="s">
        <v>719</v>
      </c>
      <c r="B221" t="s">
        <v>486</v>
      </c>
      <c r="C221" t="s">
        <v>720</v>
      </c>
      <c r="D221" t="s">
        <v>69</v>
      </c>
      <c r="E221" t="s">
        <v>34</v>
      </c>
      <c r="F221" t="s">
        <v>59</v>
      </c>
      <c r="G221">
        <v>5</v>
      </c>
      <c r="H221">
        <v>5.75</v>
      </c>
      <c r="I221">
        <v>28.75</v>
      </c>
      <c r="J221">
        <v>18.79</v>
      </c>
      <c r="K221">
        <v>9.96</v>
      </c>
      <c r="L221" t="s">
        <v>60</v>
      </c>
      <c r="M221" t="s">
        <v>29</v>
      </c>
      <c r="N221" t="s">
        <v>373</v>
      </c>
    </row>
    <row r="222" spans="1:14">
      <c r="A222" t="s">
        <v>721</v>
      </c>
      <c r="B222" t="s">
        <v>722</v>
      </c>
      <c r="C222" t="s">
        <v>723</v>
      </c>
      <c r="D222" t="s">
        <v>17</v>
      </c>
      <c r="E222" t="s">
        <v>74</v>
      </c>
      <c r="F222" t="s">
        <v>75</v>
      </c>
      <c r="G222">
        <v>2</v>
      </c>
      <c r="H222">
        <v>5.54</v>
      </c>
      <c r="I222">
        <v>11.08</v>
      </c>
      <c r="J222">
        <v>6.12</v>
      </c>
      <c r="K222">
        <v>4.96</v>
      </c>
      <c r="L222" t="s">
        <v>60</v>
      </c>
      <c r="M222" t="s">
        <v>21</v>
      </c>
      <c r="N222" t="s">
        <v>93</v>
      </c>
    </row>
    <row r="223" spans="1:14">
      <c r="A223" t="s">
        <v>724</v>
      </c>
      <c r="B223" t="s">
        <v>611</v>
      </c>
      <c r="C223" t="s">
        <v>251</v>
      </c>
      <c r="D223" t="s">
        <v>69</v>
      </c>
      <c r="E223" t="s">
        <v>74</v>
      </c>
      <c r="F223" t="s">
        <v>75</v>
      </c>
      <c r="G223">
        <v>2</v>
      </c>
      <c r="H223">
        <v>6.8</v>
      </c>
      <c r="I223">
        <v>13.6</v>
      </c>
      <c r="J223">
        <v>7.5</v>
      </c>
      <c r="K223">
        <v>6.1</v>
      </c>
      <c r="L223" t="s">
        <v>60</v>
      </c>
      <c r="M223" t="s">
        <v>54</v>
      </c>
      <c r="N223" t="s">
        <v>114</v>
      </c>
    </row>
    <row r="224" spans="1:14">
      <c r="A224" t="s">
        <v>725</v>
      </c>
      <c r="B224" t="s">
        <v>681</v>
      </c>
      <c r="C224" t="s">
        <v>726</v>
      </c>
      <c r="D224" t="s">
        <v>17</v>
      </c>
      <c r="E224" t="s">
        <v>74</v>
      </c>
      <c r="F224" t="s">
        <v>75</v>
      </c>
      <c r="G224">
        <v>2</v>
      </c>
      <c r="H224">
        <v>3.59</v>
      </c>
      <c r="I224">
        <v>7.18</v>
      </c>
      <c r="J224">
        <v>4.67</v>
      </c>
      <c r="K224">
        <v>2.51</v>
      </c>
      <c r="L224" t="s">
        <v>53</v>
      </c>
      <c r="M224" t="s">
        <v>21</v>
      </c>
      <c r="N224" t="s">
        <v>727</v>
      </c>
    </row>
    <row r="225" spans="1:14">
      <c r="A225" t="s">
        <v>728</v>
      </c>
      <c r="B225" t="s">
        <v>244</v>
      </c>
      <c r="C225" t="s">
        <v>729</v>
      </c>
      <c r="D225" t="s">
        <v>26</v>
      </c>
      <c r="E225" t="s">
        <v>27</v>
      </c>
      <c r="F225" t="s">
        <v>125</v>
      </c>
      <c r="G225">
        <v>3</v>
      </c>
      <c r="H225">
        <v>4.79</v>
      </c>
      <c r="I225">
        <v>14.37</v>
      </c>
      <c r="J225">
        <v>8.6</v>
      </c>
      <c r="K225">
        <v>5.77</v>
      </c>
      <c r="L225" t="s">
        <v>60</v>
      </c>
      <c r="M225" t="s">
        <v>54</v>
      </c>
      <c r="N225" t="s">
        <v>165</v>
      </c>
    </row>
    <row r="226" spans="1:14">
      <c r="A226" t="s">
        <v>730</v>
      </c>
      <c r="B226" t="s">
        <v>692</v>
      </c>
      <c r="C226" t="s">
        <v>731</v>
      </c>
      <c r="D226" t="s">
        <v>17</v>
      </c>
      <c r="E226" t="s">
        <v>74</v>
      </c>
      <c r="F226" t="s">
        <v>83</v>
      </c>
      <c r="G226">
        <v>5</v>
      </c>
      <c r="H226">
        <v>5.58</v>
      </c>
      <c r="I226">
        <v>27.9</v>
      </c>
      <c r="J226">
        <v>15.83</v>
      </c>
      <c r="K226">
        <v>12.07</v>
      </c>
      <c r="L226" t="s">
        <v>20</v>
      </c>
      <c r="M226" t="s">
        <v>21</v>
      </c>
      <c r="N226" t="s">
        <v>131</v>
      </c>
    </row>
    <row r="227" spans="1:14">
      <c r="A227" t="s">
        <v>732</v>
      </c>
      <c r="B227" t="s">
        <v>733</v>
      </c>
      <c r="C227" t="s">
        <v>734</v>
      </c>
      <c r="D227" t="s">
        <v>46</v>
      </c>
      <c r="E227" t="s">
        <v>27</v>
      </c>
      <c r="F227" t="s">
        <v>70</v>
      </c>
      <c r="G227">
        <v>2</v>
      </c>
      <c r="H227">
        <v>5.76</v>
      </c>
      <c r="I227">
        <v>11.52</v>
      </c>
      <c r="J227">
        <v>6.93</v>
      </c>
      <c r="K227">
        <v>4.59</v>
      </c>
      <c r="L227" t="s">
        <v>36</v>
      </c>
      <c r="M227" t="s">
        <v>54</v>
      </c>
      <c r="N227" t="s">
        <v>473</v>
      </c>
    </row>
    <row r="228" spans="1:14">
      <c r="A228" t="s">
        <v>735</v>
      </c>
      <c r="B228" t="s">
        <v>95</v>
      </c>
      <c r="C228" t="s">
        <v>736</v>
      </c>
      <c r="D228" t="s">
        <v>26</v>
      </c>
      <c r="E228" t="s">
        <v>27</v>
      </c>
      <c r="F228" t="s">
        <v>70</v>
      </c>
      <c r="G228">
        <v>4</v>
      </c>
      <c r="H228">
        <v>4.14</v>
      </c>
      <c r="I228">
        <v>16.56</v>
      </c>
      <c r="J228">
        <v>11.16</v>
      </c>
      <c r="K228">
        <v>5.4</v>
      </c>
      <c r="L228" t="s">
        <v>60</v>
      </c>
      <c r="M228" t="s">
        <v>54</v>
      </c>
      <c r="N228" t="s">
        <v>209</v>
      </c>
    </row>
    <row r="229" spans="1:14">
      <c r="A229" t="s">
        <v>737</v>
      </c>
      <c r="B229" t="s">
        <v>295</v>
      </c>
      <c r="C229" t="s">
        <v>738</v>
      </c>
      <c r="D229" t="s">
        <v>17</v>
      </c>
      <c r="E229" t="s">
        <v>34</v>
      </c>
      <c r="F229" t="s">
        <v>59</v>
      </c>
      <c r="G229">
        <v>1</v>
      </c>
      <c r="H229">
        <v>5.55</v>
      </c>
      <c r="I229">
        <v>5.55</v>
      </c>
      <c r="J229">
        <v>3.74</v>
      </c>
      <c r="K229">
        <v>1.81</v>
      </c>
      <c r="L229" t="s">
        <v>53</v>
      </c>
      <c r="M229" t="s">
        <v>54</v>
      </c>
      <c r="N229" t="s">
        <v>431</v>
      </c>
    </row>
    <row r="230" spans="1:14">
      <c r="A230" t="s">
        <v>739</v>
      </c>
      <c r="B230" t="s">
        <v>740</v>
      </c>
      <c r="C230" t="s">
        <v>741</v>
      </c>
      <c r="D230" t="s">
        <v>46</v>
      </c>
      <c r="E230" t="s">
        <v>18</v>
      </c>
      <c r="F230" t="s">
        <v>19</v>
      </c>
      <c r="G230">
        <v>5</v>
      </c>
      <c r="H230">
        <v>3.34</v>
      </c>
      <c r="I230">
        <v>16.7</v>
      </c>
      <c r="J230">
        <v>9.31</v>
      </c>
      <c r="K230">
        <v>7.39</v>
      </c>
      <c r="L230" t="s">
        <v>20</v>
      </c>
      <c r="M230" t="s">
        <v>29</v>
      </c>
      <c r="N230" t="s">
        <v>238</v>
      </c>
    </row>
    <row r="231" spans="1:14">
      <c r="A231" t="s">
        <v>742</v>
      </c>
      <c r="B231" t="s">
        <v>266</v>
      </c>
      <c r="C231" t="s">
        <v>743</v>
      </c>
      <c r="D231" t="s">
        <v>26</v>
      </c>
      <c r="E231" t="s">
        <v>27</v>
      </c>
      <c r="F231" t="s">
        <v>169</v>
      </c>
      <c r="G231">
        <v>5</v>
      </c>
      <c r="H231">
        <v>7.3</v>
      </c>
      <c r="I231">
        <v>36.5</v>
      </c>
      <c r="J231">
        <v>16.87</v>
      </c>
      <c r="K231">
        <v>19.63</v>
      </c>
      <c r="L231" t="s">
        <v>60</v>
      </c>
      <c r="M231" t="s">
        <v>21</v>
      </c>
      <c r="N231" t="s">
        <v>744</v>
      </c>
    </row>
    <row r="232" spans="1:14">
      <c r="A232" t="s">
        <v>745</v>
      </c>
      <c r="B232" t="s">
        <v>99</v>
      </c>
      <c r="C232" t="s">
        <v>746</v>
      </c>
      <c r="D232" t="s">
        <v>52</v>
      </c>
      <c r="E232" t="s">
        <v>74</v>
      </c>
      <c r="F232" t="s">
        <v>92</v>
      </c>
      <c r="G232">
        <v>2</v>
      </c>
      <c r="H232">
        <v>5.93</v>
      </c>
      <c r="I232">
        <v>11.86</v>
      </c>
      <c r="J232">
        <v>5.85</v>
      </c>
      <c r="K232">
        <v>6.01</v>
      </c>
      <c r="L232" t="s">
        <v>53</v>
      </c>
      <c r="M232" t="s">
        <v>29</v>
      </c>
      <c r="N232" t="s">
        <v>278</v>
      </c>
    </row>
    <row r="233" spans="1:14">
      <c r="A233" t="s">
        <v>747</v>
      </c>
      <c r="B233" t="s">
        <v>748</v>
      </c>
      <c r="C233" t="s">
        <v>749</v>
      </c>
      <c r="D233" t="s">
        <v>52</v>
      </c>
      <c r="E233" t="s">
        <v>18</v>
      </c>
      <c r="F233" t="s">
        <v>19</v>
      </c>
      <c r="G233">
        <v>1</v>
      </c>
      <c r="H233">
        <v>6.67</v>
      </c>
      <c r="I233">
        <v>6.67</v>
      </c>
      <c r="J233">
        <v>3.02</v>
      </c>
      <c r="K233">
        <v>3.65</v>
      </c>
      <c r="L233" t="s">
        <v>60</v>
      </c>
      <c r="M233" t="s">
        <v>21</v>
      </c>
      <c r="N233" t="s">
        <v>97</v>
      </c>
    </row>
    <row r="234" spans="1:14">
      <c r="A234" t="s">
        <v>750</v>
      </c>
      <c r="B234" t="s">
        <v>639</v>
      </c>
      <c r="C234" t="s">
        <v>751</v>
      </c>
      <c r="D234" t="s">
        <v>52</v>
      </c>
      <c r="E234" t="s">
        <v>27</v>
      </c>
      <c r="F234" t="s">
        <v>169</v>
      </c>
      <c r="G234">
        <v>5</v>
      </c>
      <c r="H234">
        <v>4.02</v>
      </c>
      <c r="I234">
        <v>20.1</v>
      </c>
      <c r="J234">
        <v>10.13</v>
      </c>
      <c r="K234">
        <v>9.97</v>
      </c>
      <c r="L234" t="s">
        <v>60</v>
      </c>
      <c r="M234" t="s">
        <v>29</v>
      </c>
      <c r="N234" t="s">
        <v>79</v>
      </c>
    </row>
    <row r="235" spans="1:14">
      <c r="A235" t="s">
        <v>752</v>
      </c>
      <c r="B235" t="s">
        <v>625</v>
      </c>
      <c r="C235" t="s">
        <v>753</v>
      </c>
      <c r="D235" t="s">
        <v>17</v>
      </c>
      <c r="E235" t="s">
        <v>34</v>
      </c>
      <c r="F235" t="s">
        <v>35</v>
      </c>
      <c r="G235">
        <v>3</v>
      </c>
      <c r="H235">
        <v>6.35</v>
      </c>
      <c r="I235">
        <v>19.05</v>
      </c>
      <c r="J235">
        <v>11.98</v>
      </c>
      <c r="K235">
        <v>7.07</v>
      </c>
      <c r="L235" t="s">
        <v>36</v>
      </c>
      <c r="M235" t="s">
        <v>21</v>
      </c>
      <c r="N235" t="s">
        <v>278</v>
      </c>
    </row>
    <row r="236" spans="1:14">
      <c r="A236" t="s">
        <v>754</v>
      </c>
      <c r="B236" t="s">
        <v>755</v>
      </c>
      <c r="C236" t="s">
        <v>756</v>
      </c>
      <c r="D236" t="s">
        <v>69</v>
      </c>
      <c r="E236" t="s">
        <v>74</v>
      </c>
      <c r="F236" t="s">
        <v>75</v>
      </c>
      <c r="G236">
        <v>5</v>
      </c>
      <c r="H236">
        <v>7.94</v>
      </c>
      <c r="I236">
        <v>39.7</v>
      </c>
      <c r="J236">
        <v>25.32</v>
      </c>
      <c r="K236">
        <v>14.38</v>
      </c>
      <c r="L236" t="s">
        <v>20</v>
      </c>
      <c r="M236" t="s">
        <v>29</v>
      </c>
      <c r="N236" t="s">
        <v>37</v>
      </c>
    </row>
    <row r="237" spans="1:14">
      <c r="A237" t="s">
        <v>757</v>
      </c>
      <c r="B237" t="s">
        <v>157</v>
      </c>
      <c r="C237" t="s">
        <v>758</v>
      </c>
      <c r="D237" t="s">
        <v>26</v>
      </c>
      <c r="E237" t="s">
        <v>18</v>
      </c>
      <c r="F237" t="s">
        <v>146</v>
      </c>
      <c r="G237">
        <v>3</v>
      </c>
      <c r="H237">
        <v>7.5</v>
      </c>
      <c r="I237">
        <v>22.5</v>
      </c>
      <c r="J237">
        <v>12.65</v>
      </c>
      <c r="K237">
        <v>9.85</v>
      </c>
      <c r="L237" t="s">
        <v>60</v>
      </c>
      <c r="M237" t="s">
        <v>54</v>
      </c>
      <c r="N237" t="s">
        <v>139</v>
      </c>
    </row>
    <row r="238" spans="1:14">
      <c r="A238" t="s">
        <v>759</v>
      </c>
      <c r="B238" t="s">
        <v>760</v>
      </c>
      <c r="C238" t="s">
        <v>503</v>
      </c>
      <c r="D238" t="s">
        <v>17</v>
      </c>
      <c r="E238" t="s">
        <v>74</v>
      </c>
      <c r="F238" t="s">
        <v>83</v>
      </c>
      <c r="G238">
        <v>3</v>
      </c>
      <c r="H238">
        <v>6.84</v>
      </c>
      <c r="I238">
        <v>20.52</v>
      </c>
      <c r="J238">
        <v>10.55</v>
      </c>
      <c r="K238">
        <v>9.97</v>
      </c>
      <c r="L238" t="s">
        <v>36</v>
      </c>
      <c r="M238" t="s">
        <v>29</v>
      </c>
      <c r="N238" t="s">
        <v>177</v>
      </c>
    </row>
    <row r="239" spans="1:14">
      <c r="A239" t="s">
        <v>761</v>
      </c>
      <c r="B239" t="s">
        <v>762</v>
      </c>
      <c r="C239" t="s">
        <v>763</v>
      </c>
      <c r="D239" t="s">
        <v>69</v>
      </c>
      <c r="E239" t="s">
        <v>34</v>
      </c>
      <c r="F239" t="s">
        <v>135</v>
      </c>
      <c r="G239">
        <v>3</v>
      </c>
      <c r="H239">
        <v>2.99</v>
      </c>
      <c r="I239">
        <v>8.97</v>
      </c>
      <c r="J239">
        <v>4.62</v>
      </c>
      <c r="K239">
        <v>4.35</v>
      </c>
      <c r="L239" t="s">
        <v>53</v>
      </c>
      <c r="M239" t="s">
        <v>54</v>
      </c>
      <c r="N239" t="s">
        <v>530</v>
      </c>
    </row>
    <row r="240" spans="1:14">
      <c r="A240" t="s">
        <v>764</v>
      </c>
      <c r="B240" t="s">
        <v>555</v>
      </c>
      <c r="C240" t="s">
        <v>765</v>
      </c>
      <c r="D240" t="s">
        <v>46</v>
      </c>
      <c r="E240" t="s">
        <v>18</v>
      </c>
      <c r="F240" t="s">
        <v>41</v>
      </c>
      <c r="G240">
        <v>3</v>
      </c>
      <c r="H240">
        <v>5.38</v>
      </c>
      <c r="I240">
        <v>16.14</v>
      </c>
      <c r="J240">
        <v>11.22</v>
      </c>
      <c r="K240">
        <v>4.92</v>
      </c>
      <c r="L240" t="s">
        <v>53</v>
      </c>
      <c r="M240" t="s">
        <v>21</v>
      </c>
      <c r="N240" t="s">
        <v>126</v>
      </c>
    </row>
    <row r="241" spans="1:14">
      <c r="A241" t="s">
        <v>766</v>
      </c>
      <c r="B241" t="s">
        <v>63</v>
      </c>
      <c r="C241" t="s">
        <v>290</v>
      </c>
      <c r="D241" t="s">
        <v>26</v>
      </c>
      <c r="E241" t="s">
        <v>18</v>
      </c>
      <c r="F241" t="s">
        <v>41</v>
      </c>
      <c r="G241">
        <v>5</v>
      </c>
      <c r="H241">
        <v>6.62</v>
      </c>
      <c r="I241">
        <v>33.1</v>
      </c>
      <c r="J241">
        <v>21.72</v>
      </c>
      <c r="K241">
        <v>11.38</v>
      </c>
      <c r="L241" t="s">
        <v>20</v>
      </c>
      <c r="M241" t="s">
        <v>29</v>
      </c>
      <c r="N241" t="s">
        <v>491</v>
      </c>
    </row>
    <row r="242" spans="1:14">
      <c r="A242" t="s">
        <v>767</v>
      </c>
      <c r="B242" t="s">
        <v>768</v>
      </c>
      <c r="C242" t="s">
        <v>769</v>
      </c>
      <c r="D242" t="s">
        <v>17</v>
      </c>
      <c r="E242" t="s">
        <v>34</v>
      </c>
      <c r="F242" t="s">
        <v>59</v>
      </c>
      <c r="G242">
        <v>1</v>
      </c>
      <c r="H242">
        <v>4.81</v>
      </c>
      <c r="I242">
        <v>4.81</v>
      </c>
      <c r="J242">
        <v>2.81</v>
      </c>
      <c r="K242">
        <v>2</v>
      </c>
      <c r="L242" t="s">
        <v>36</v>
      </c>
      <c r="M242" t="s">
        <v>21</v>
      </c>
      <c r="N242" t="s">
        <v>352</v>
      </c>
    </row>
    <row r="243" spans="1:14">
      <c r="A243" t="s">
        <v>770</v>
      </c>
      <c r="B243" t="s">
        <v>771</v>
      </c>
      <c r="C243" t="s">
        <v>772</v>
      </c>
      <c r="D243" t="s">
        <v>69</v>
      </c>
      <c r="E243" t="s">
        <v>74</v>
      </c>
      <c r="F243" t="s">
        <v>92</v>
      </c>
      <c r="G243">
        <v>5</v>
      </c>
      <c r="H243">
        <v>7.12</v>
      </c>
      <c r="I243">
        <v>35.6</v>
      </c>
      <c r="J243">
        <v>17.49</v>
      </c>
      <c r="K243">
        <v>18.11</v>
      </c>
      <c r="L243" t="s">
        <v>60</v>
      </c>
      <c r="M243" t="s">
        <v>29</v>
      </c>
      <c r="N243" t="s">
        <v>30</v>
      </c>
    </row>
    <row r="244" spans="1:14">
      <c r="A244" t="s">
        <v>773</v>
      </c>
      <c r="B244" t="s">
        <v>774</v>
      </c>
      <c r="C244" t="s">
        <v>775</v>
      </c>
      <c r="D244" t="s">
        <v>46</v>
      </c>
      <c r="E244" t="s">
        <v>27</v>
      </c>
      <c r="F244" t="s">
        <v>70</v>
      </c>
      <c r="G244">
        <v>4</v>
      </c>
      <c r="H244">
        <v>6.67</v>
      </c>
      <c r="I244">
        <v>26.68</v>
      </c>
      <c r="J244">
        <v>18.56</v>
      </c>
      <c r="K244">
        <v>8.12</v>
      </c>
      <c r="L244" t="s">
        <v>53</v>
      </c>
      <c r="M244" t="s">
        <v>29</v>
      </c>
      <c r="N244" t="s">
        <v>303</v>
      </c>
    </row>
    <row r="245" spans="1:14">
      <c r="A245" t="s">
        <v>776</v>
      </c>
      <c r="B245" t="s">
        <v>295</v>
      </c>
      <c r="C245" t="s">
        <v>138</v>
      </c>
      <c r="D245" t="s">
        <v>52</v>
      </c>
      <c r="E245" t="s">
        <v>74</v>
      </c>
      <c r="F245" t="s">
        <v>75</v>
      </c>
      <c r="G245">
        <v>2</v>
      </c>
      <c r="H245">
        <v>2.9</v>
      </c>
      <c r="I245">
        <v>5.8</v>
      </c>
      <c r="J245">
        <v>4.01</v>
      </c>
      <c r="K245">
        <v>1.79</v>
      </c>
      <c r="L245" t="s">
        <v>36</v>
      </c>
      <c r="M245" t="s">
        <v>21</v>
      </c>
      <c r="N245" t="s">
        <v>230</v>
      </c>
    </row>
    <row r="246" spans="1:14">
      <c r="A246" t="s">
        <v>777</v>
      </c>
      <c r="B246" t="s">
        <v>778</v>
      </c>
      <c r="C246" t="s">
        <v>779</v>
      </c>
      <c r="D246" t="s">
        <v>52</v>
      </c>
      <c r="E246" t="s">
        <v>34</v>
      </c>
      <c r="F246" t="s">
        <v>130</v>
      </c>
      <c r="G246">
        <v>1</v>
      </c>
      <c r="H246">
        <v>6.23</v>
      </c>
      <c r="I246">
        <v>6.23</v>
      </c>
      <c r="J246">
        <v>3.79</v>
      </c>
      <c r="K246">
        <v>2.44</v>
      </c>
      <c r="L246" t="s">
        <v>60</v>
      </c>
      <c r="M246" t="s">
        <v>21</v>
      </c>
      <c r="N246" t="s">
        <v>431</v>
      </c>
    </row>
    <row r="247" spans="1:14">
      <c r="A247" t="s">
        <v>780</v>
      </c>
      <c r="B247" t="s">
        <v>608</v>
      </c>
      <c r="C247" t="s">
        <v>781</v>
      </c>
      <c r="D247" t="s">
        <v>46</v>
      </c>
      <c r="E247" t="s">
        <v>27</v>
      </c>
      <c r="F247" t="s">
        <v>70</v>
      </c>
      <c r="G247">
        <v>1</v>
      </c>
      <c r="H247">
        <v>3.92</v>
      </c>
      <c r="I247">
        <v>3.92</v>
      </c>
      <c r="J247">
        <v>2.65</v>
      </c>
      <c r="K247">
        <v>1.27</v>
      </c>
      <c r="L247" t="s">
        <v>53</v>
      </c>
      <c r="M247" t="s">
        <v>21</v>
      </c>
      <c r="N247" t="s">
        <v>466</v>
      </c>
    </row>
    <row r="248" spans="1:14">
      <c r="A248" t="s">
        <v>782</v>
      </c>
      <c r="B248" t="s">
        <v>149</v>
      </c>
      <c r="C248" t="s">
        <v>640</v>
      </c>
      <c r="D248" t="s">
        <v>17</v>
      </c>
      <c r="E248" t="s">
        <v>74</v>
      </c>
      <c r="F248" t="s">
        <v>75</v>
      </c>
      <c r="G248">
        <v>3</v>
      </c>
      <c r="H248">
        <v>7.02</v>
      </c>
      <c r="I248">
        <v>21.06</v>
      </c>
      <c r="J248">
        <v>12.84</v>
      </c>
      <c r="K248">
        <v>8.22</v>
      </c>
      <c r="L248" t="s">
        <v>20</v>
      </c>
      <c r="M248" t="s">
        <v>21</v>
      </c>
      <c r="N248" t="s">
        <v>783</v>
      </c>
    </row>
    <row r="249" spans="1:14">
      <c r="A249" t="s">
        <v>784</v>
      </c>
      <c r="B249" t="s">
        <v>395</v>
      </c>
      <c r="C249" t="s">
        <v>785</v>
      </c>
      <c r="D249" t="s">
        <v>17</v>
      </c>
      <c r="E249" t="s">
        <v>27</v>
      </c>
      <c r="F249" t="s">
        <v>169</v>
      </c>
      <c r="G249">
        <v>4</v>
      </c>
      <c r="H249">
        <v>5.25</v>
      </c>
      <c r="I249">
        <v>21</v>
      </c>
      <c r="J249">
        <v>11.1</v>
      </c>
      <c r="K249">
        <v>9.9</v>
      </c>
      <c r="L249" t="s">
        <v>53</v>
      </c>
      <c r="M249" t="s">
        <v>21</v>
      </c>
      <c r="N249" t="s">
        <v>560</v>
      </c>
    </row>
    <row r="250" spans="1:14">
      <c r="A250" t="s">
        <v>786</v>
      </c>
      <c r="B250" t="s">
        <v>787</v>
      </c>
      <c r="C250" t="s">
        <v>248</v>
      </c>
      <c r="D250" t="s">
        <v>26</v>
      </c>
      <c r="E250" t="s">
        <v>34</v>
      </c>
      <c r="F250" t="s">
        <v>130</v>
      </c>
      <c r="G250">
        <v>4</v>
      </c>
      <c r="H250">
        <v>5.47</v>
      </c>
      <c r="I250">
        <v>21.88</v>
      </c>
      <c r="J250">
        <v>11.67</v>
      </c>
      <c r="K250">
        <v>10.21</v>
      </c>
      <c r="L250" t="s">
        <v>36</v>
      </c>
      <c r="M250" t="s">
        <v>21</v>
      </c>
      <c r="N250" t="s">
        <v>285</v>
      </c>
    </row>
    <row r="251" spans="1:14">
      <c r="A251" t="s">
        <v>788</v>
      </c>
      <c r="B251" t="s">
        <v>789</v>
      </c>
      <c r="C251" t="s">
        <v>790</v>
      </c>
      <c r="D251" t="s">
        <v>17</v>
      </c>
      <c r="E251" t="s">
        <v>27</v>
      </c>
      <c r="F251" t="s">
        <v>70</v>
      </c>
      <c r="G251">
        <v>2</v>
      </c>
      <c r="H251">
        <v>7.2</v>
      </c>
      <c r="I251">
        <v>14.4</v>
      </c>
      <c r="J251">
        <v>6.78</v>
      </c>
      <c r="K251">
        <v>7.62</v>
      </c>
      <c r="L251" t="s">
        <v>53</v>
      </c>
      <c r="M251" t="s">
        <v>29</v>
      </c>
      <c r="N251" t="s">
        <v>365</v>
      </c>
    </row>
    <row r="252" spans="1:14">
      <c r="A252" t="s">
        <v>791</v>
      </c>
      <c r="B252" t="s">
        <v>792</v>
      </c>
      <c r="C252" t="s">
        <v>793</v>
      </c>
      <c r="D252" t="s">
        <v>46</v>
      </c>
      <c r="E252" t="s">
        <v>18</v>
      </c>
      <c r="F252" t="s">
        <v>41</v>
      </c>
      <c r="G252">
        <v>4</v>
      </c>
      <c r="H252">
        <v>6.43</v>
      </c>
      <c r="I252">
        <v>25.72</v>
      </c>
      <c r="J252">
        <v>16.45</v>
      </c>
      <c r="K252">
        <v>9.27</v>
      </c>
      <c r="L252" t="s">
        <v>53</v>
      </c>
      <c r="M252" t="s">
        <v>29</v>
      </c>
      <c r="N252" t="s">
        <v>794</v>
      </c>
    </row>
    <row r="253" spans="1:14">
      <c r="A253" t="s">
        <v>795</v>
      </c>
      <c r="B253" t="s">
        <v>768</v>
      </c>
      <c r="C253" t="s">
        <v>592</v>
      </c>
      <c r="D253" t="s">
        <v>52</v>
      </c>
      <c r="E253" t="s">
        <v>27</v>
      </c>
      <c r="F253" t="s">
        <v>70</v>
      </c>
      <c r="G253">
        <v>4</v>
      </c>
      <c r="H253">
        <v>4.26</v>
      </c>
      <c r="I253">
        <v>17.04</v>
      </c>
      <c r="J253">
        <v>9.43</v>
      </c>
      <c r="K253">
        <v>7.61</v>
      </c>
      <c r="L253" t="s">
        <v>36</v>
      </c>
      <c r="M253" t="s">
        <v>29</v>
      </c>
      <c r="N253" t="s">
        <v>796</v>
      </c>
    </row>
    <row r="254" spans="1:14">
      <c r="A254" t="s">
        <v>797</v>
      </c>
      <c r="B254" t="s">
        <v>798</v>
      </c>
      <c r="C254" t="s">
        <v>799</v>
      </c>
      <c r="D254" t="s">
        <v>69</v>
      </c>
      <c r="E254" t="s">
        <v>18</v>
      </c>
      <c r="F254" t="s">
        <v>41</v>
      </c>
      <c r="G254">
        <v>4</v>
      </c>
      <c r="H254">
        <v>6.75</v>
      </c>
      <c r="I254">
        <v>27</v>
      </c>
      <c r="J254">
        <v>12.39</v>
      </c>
      <c r="K254">
        <v>14.61</v>
      </c>
      <c r="L254" t="s">
        <v>60</v>
      </c>
      <c r="M254" t="s">
        <v>29</v>
      </c>
      <c r="N254" t="s">
        <v>278</v>
      </c>
    </row>
    <row r="255" spans="1:14">
      <c r="A255" t="s">
        <v>800</v>
      </c>
      <c r="B255" t="s">
        <v>664</v>
      </c>
      <c r="C255" t="s">
        <v>801</v>
      </c>
      <c r="D255" t="s">
        <v>69</v>
      </c>
      <c r="E255" t="s">
        <v>18</v>
      </c>
      <c r="F255" t="s">
        <v>146</v>
      </c>
      <c r="G255">
        <v>3</v>
      </c>
      <c r="H255">
        <v>5.69</v>
      </c>
      <c r="I255">
        <v>17.07</v>
      </c>
      <c r="J255">
        <v>11.95</v>
      </c>
      <c r="K255">
        <v>5.12</v>
      </c>
      <c r="L255" t="s">
        <v>36</v>
      </c>
      <c r="M255" t="s">
        <v>54</v>
      </c>
      <c r="N255" t="s">
        <v>151</v>
      </c>
    </row>
    <row r="256" spans="1:14">
      <c r="A256" t="s">
        <v>802</v>
      </c>
      <c r="B256" t="s">
        <v>103</v>
      </c>
      <c r="C256" t="s">
        <v>803</v>
      </c>
      <c r="D256" t="s">
        <v>52</v>
      </c>
      <c r="E256" t="s">
        <v>18</v>
      </c>
      <c r="F256" t="s">
        <v>146</v>
      </c>
      <c r="G256">
        <v>3</v>
      </c>
      <c r="H256">
        <v>3.17</v>
      </c>
      <c r="I256">
        <v>9.51</v>
      </c>
      <c r="J256">
        <v>4.37</v>
      </c>
      <c r="K256">
        <v>5.14</v>
      </c>
      <c r="L256" t="s">
        <v>20</v>
      </c>
      <c r="M256" t="s">
        <v>21</v>
      </c>
      <c r="N256" t="s">
        <v>783</v>
      </c>
    </row>
    <row r="257" spans="1:14">
      <c r="A257" t="s">
        <v>804</v>
      </c>
      <c r="B257" t="s">
        <v>588</v>
      </c>
      <c r="C257" t="s">
        <v>805</v>
      </c>
      <c r="D257" t="s">
        <v>69</v>
      </c>
      <c r="E257" t="s">
        <v>34</v>
      </c>
      <c r="F257" t="s">
        <v>59</v>
      </c>
      <c r="G257">
        <v>4</v>
      </c>
      <c r="H257">
        <v>6.53</v>
      </c>
      <c r="I257">
        <v>26.12</v>
      </c>
      <c r="J257">
        <v>17.12</v>
      </c>
      <c r="K257">
        <v>9</v>
      </c>
      <c r="L257" t="s">
        <v>20</v>
      </c>
      <c r="M257" t="s">
        <v>29</v>
      </c>
      <c r="N257" t="s">
        <v>177</v>
      </c>
    </row>
    <row r="258" spans="1:14">
      <c r="A258" t="s">
        <v>806</v>
      </c>
      <c r="B258" t="s">
        <v>32</v>
      </c>
      <c r="C258" t="s">
        <v>807</v>
      </c>
      <c r="D258" t="s">
        <v>69</v>
      </c>
      <c r="E258" t="s">
        <v>34</v>
      </c>
      <c r="F258" t="s">
        <v>35</v>
      </c>
      <c r="G258">
        <v>2</v>
      </c>
      <c r="H258">
        <v>5.28</v>
      </c>
      <c r="I258">
        <v>10.56</v>
      </c>
      <c r="J258">
        <v>6.18</v>
      </c>
      <c r="K258">
        <v>4.38</v>
      </c>
      <c r="L258" t="s">
        <v>36</v>
      </c>
      <c r="M258" t="s">
        <v>29</v>
      </c>
      <c r="N258" t="s">
        <v>48</v>
      </c>
    </row>
    <row r="259" spans="1:14">
      <c r="A259" t="s">
        <v>808</v>
      </c>
      <c r="B259" t="s">
        <v>44</v>
      </c>
      <c r="C259" t="s">
        <v>809</v>
      </c>
      <c r="D259" t="s">
        <v>17</v>
      </c>
      <c r="E259" t="s">
        <v>18</v>
      </c>
      <c r="F259" t="s">
        <v>146</v>
      </c>
      <c r="G259">
        <v>4</v>
      </c>
      <c r="H259">
        <v>3.13</v>
      </c>
      <c r="I259">
        <v>12.52</v>
      </c>
      <c r="J259">
        <v>6.45</v>
      </c>
      <c r="K259">
        <v>6.07</v>
      </c>
      <c r="L259" t="s">
        <v>36</v>
      </c>
      <c r="M259" t="s">
        <v>29</v>
      </c>
      <c r="N259" t="s">
        <v>118</v>
      </c>
    </row>
    <row r="260" spans="1:14">
      <c r="A260" t="s">
        <v>810</v>
      </c>
      <c r="B260" t="s">
        <v>811</v>
      </c>
      <c r="C260" t="s">
        <v>812</v>
      </c>
      <c r="D260" t="s">
        <v>52</v>
      </c>
      <c r="E260" t="s">
        <v>34</v>
      </c>
      <c r="F260" t="s">
        <v>35</v>
      </c>
      <c r="G260">
        <v>3</v>
      </c>
      <c r="H260">
        <v>6.33</v>
      </c>
      <c r="I260">
        <v>18.99</v>
      </c>
      <c r="J260">
        <v>12.16</v>
      </c>
      <c r="K260">
        <v>6.83</v>
      </c>
      <c r="L260" t="s">
        <v>53</v>
      </c>
      <c r="M260" t="s">
        <v>21</v>
      </c>
      <c r="N260" t="s">
        <v>207</v>
      </c>
    </row>
    <row r="261" spans="1:14">
      <c r="A261" t="s">
        <v>813</v>
      </c>
      <c r="B261" t="s">
        <v>814</v>
      </c>
      <c r="C261" t="s">
        <v>815</v>
      </c>
      <c r="D261" t="s">
        <v>46</v>
      </c>
      <c r="E261" t="s">
        <v>18</v>
      </c>
      <c r="F261" t="s">
        <v>19</v>
      </c>
      <c r="G261">
        <v>3</v>
      </c>
      <c r="H261">
        <v>5.76</v>
      </c>
      <c r="I261">
        <v>17.28</v>
      </c>
      <c r="J261">
        <v>8.82</v>
      </c>
      <c r="K261">
        <v>8.46</v>
      </c>
      <c r="L261" t="s">
        <v>60</v>
      </c>
      <c r="M261" t="s">
        <v>29</v>
      </c>
      <c r="N261" t="s">
        <v>105</v>
      </c>
    </row>
    <row r="262" spans="1:14">
      <c r="A262" t="s">
        <v>816</v>
      </c>
      <c r="B262" t="s">
        <v>817</v>
      </c>
      <c r="C262" t="s">
        <v>818</v>
      </c>
      <c r="D262" t="s">
        <v>52</v>
      </c>
      <c r="E262" t="s">
        <v>18</v>
      </c>
      <c r="F262" t="s">
        <v>41</v>
      </c>
      <c r="G262">
        <v>2</v>
      </c>
      <c r="H262">
        <v>5.55</v>
      </c>
      <c r="I262">
        <v>11.1</v>
      </c>
      <c r="J262">
        <v>5.38</v>
      </c>
      <c r="K262">
        <v>5.72</v>
      </c>
      <c r="L262" t="s">
        <v>36</v>
      </c>
      <c r="M262" t="s">
        <v>21</v>
      </c>
      <c r="N262" t="s">
        <v>384</v>
      </c>
    </row>
    <row r="263" spans="1:14">
      <c r="A263" t="s">
        <v>819</v>
      </c>
      <c r="B263" t="s">
        <v>820</v>
      </c>
      <c r="C263" t="s">
        <v>821</v>
      </c>
      <c r="D263" t="s">
        <v>52</v>
      </c>
      <c r="E263" t="s">
        <v>18</v>
      </c>
      <c r="F263" t="s">
        <v>41</v>
      </c>
      <c r="G263">
        <v>1</v>
      </c>
      <c r="H263">
        <v>4.21</v>
      </c>
      <c r="I263">
        <v>4.21</v>
      </c>
      <c r="J263">
        <v>2.19</v>
      </c>
      <c r="K263">
        <v>2.02</v>
      </c>
      <c r="L263" t="s">
        <v>36</v>
      </c>
      <c r="M263" t="s">
        <v>21</v>
      </c>
      <c r="N263" t="s">
        <v>822</v>
      </c>
    </row>
    <row r="264" spans="1:14">
      <c r="A264" t="s">
        <v>823</v>
      </c>
      <c r="B264" t="s">
        <v>824</v>
      </c>
      <c r="C264" t="s">
        <v>825</v>
      </c>
      <c r="D264" t="s">
        <v>52</v>
      </c>
      <c r="E264" t="s">
        <v>34</v>
      </c>
      <c r="F264" t="s">
        <v>135</v>
      </c>
      <c r="G264">
        <v>1</v>
      </c>
      <c r="H264">
        <v>6.18</v>
      </c>
      <c r="I264">
        <v>6.18</v>
      </c>
      <c r="J264">
        <v>4.08</v>
      </c>
      <c r="K264">
        <v>2.1</v>
      </c>
      <c r="L264" t="s">
        <v>60</v>
      </c>
      <c r="M264" t="s">
        <v>29</v>
      </c>
      <c r="N264" t="s">
        <v>126</v>
      </c>
    </row>
    <row r="265" spans="1:14">
      <c r="A265" t="s">
        <v>826</v>
      </c>
      <c r="B265" t="s">
        <v>827</v>
      </c>
      <c r="C265" t="s">
        <v>828</v>
      </c>
      <c r="D265" t="s">
        <v>46</v>
      </c>
      <c r="E265" t="s">
        <v>27</v>
      </c>
      <c r="F265" t="s">
        <v>28</v>
      </c>
      <c r="G265">
        <v>4</v>
      </c>
      <c r="H265">
        <v>4.18</v>
      </c>
      <c r="I265">
        <v>16.72</v>
      </c>
      <c r="J265">
        <v>9.65</v>
      </c>
      <c r="K265">
        <v>7.07</v>
      </c>
      <c r="L265" t="s">
        <v>36</v>
      </c>
      <c r="M265" t="s">
        <v>21</v>
      </c>
      <c r="N265" t="s">
        <v>238</v>
      </c>
    </row>
    <row r="266" spans="1:14">
      <c r="A266" t="s">
        <v>829</v>
      </c>
      <c r="B266" t="s">
        <v>375</v>
      </c>
      <c r="C266" t="s">
        <v>830</v>
      </c>
      <c r="D266" t="s">
        <v>46</v>
      </c>
      <c r="E266" t="s">
        <v>34</v>
      </c>
      <c r="F266" t="s">
        <v>47</v>
      </c>
      <c r="G266">
        <v>3</v>
      </c>
      <c r="H266">
        <v>3.1</v>
      </c>
      <c r="I266">
        <v>9.3</v>
      </c>
      <c r="J266">
        <v>5.89</v>
      </c>
      <c r="K266">
        <v>3.41</v>
      </c>
      <c r="L266" t="s">
        <v>36</v>
      </c>
      <c r="M266" t="s">
        <v>54</v>
      </c>
      <c r="N266" t="s">
        <v>794</v>
      </c>
    </row>
    <row r="267" spans="1:14">
      <c r="A267" t="s">
        <v>831</v>
      </c>
      <c r="B267" t="s">
        <v>572</v>
      </c>
      <c r="C267" t="s">
        <v>832</v>
      </c>
      <c r="D267" t="s">
        <v>17</v>
      </c>
      <c r="E267" t="s">
        <v>18</v>
      </c>
      <c r="F267" t="s">
        <v>146</v>
      </c>
      <c r="G267">
        <v>5</v>
      </c>
      <c r="H267">
        <v>2.92</v>
      </c>
      <c r="I267">
        <v>14.6</v>
      </c>
      <c r="J267">
        <v>9.81</v>
      </c>
      <c r="K267">
        <v>4.79</v>
      </c>
      <c r="L267" t="s">
        <v>36</v>
      </c>
      <c r="M267" t="s">
        <v>29</v>
      </c>
      <c r="N267" t="s">
        <v>191</v>
      </c>
    </row>
    <row r="268" spans="1:14">
      <c r="A268" t="s">
        <v>833</v>
      </c>
      <c r="B268" t="s">
        <v>834</v>
      </c>
      <c r="C268" t="s">
        <v>685</v>
      </c>
      <c r="D268" t="s">
        <v>26</v>
      </c>
      <c r="E268" t="s">
        <v>18</v>
      </c>
      <c r="F268" t="s">
        <v>41</v>
      </c>
      <c r="G268">
        <v>4</v>
      </c>
      <c r="H268">
        <v>7.37</v>
      </c>
      <c r="I268">
        <v>29.48</v>
      </c>
      <c r="J268">
        <v>18.96</v>
      </c>
      <c r="K268">
        <v>10.52</v>
      </c>
      <c r="L268" t="s">
        <v>60</v>
      </c>
      <c r="M268" t="s">
        <v>21</v>
      </c>
      <c r="N268" t="s">
        <v>580</v>
      </c>
    </row>
    <row r="269" spans="1:14">
      <c r="A269" t="s">
        <v>835</v>
      </c>
      <c r="B269" t="s">
        <v>240</v>
      </c>
      <c r="C269" t="s">
        <v>836</v>
      </c>
      <c r="D269" t="s">
        <v>52</v>
      </c>
      <c r="E269" t="s">
        <v>74</v>
      </c>
      <c r="F269" t="s">
        <v>75</v>
      </c>
      <c r="G269">
        <v>1</v>
      </c>
      <c r="H269">
        <v>7.27</v>
      </c>
      <c r="I269">
        <v>7.27</v>
      </c>
      <c r="J269">
        <v>4.19</v>
      </c>
      <c r="K269">
        <v>3.08</v>
      </c>
      <c r="L269" t="s">
        <v>53</v>
      </c>
      <c r="M269" t="s">
        <v>21</v>
      </c>
      <c r="N269" t="s">
        <v>271</v>
      </c>
    </row>
    <row r="270" spans="1:14">
      <c r="A270" t="s">
        <v>837</v>
      </c>
      <c r="B270" t="s">
        <v>787</v>
      </c>
      <c r="C270" t="s">
        <v>838</v>
      </c>
      <c r="D270" t="s">
        <v>69</v>
      </c>
      <c r="E270" t="s">
        <v>18</v>
      </c>
      <c r="F270" t="s">
        <v>41</v>
      </c>
      <c r="G270">
        <v>3</v>
      </c>
      <c r="H270">
        <v>4.28</v>
      </c>
      <c r="I270">
        <v>12.84</v>
      </c>
      <c r="J270">
        <v>8.06</v>
      </c>
      <c r="K270">
        <v>4.78</v>
      </c>
      <c r="L270" t="s">
        <v>20</v>
      </c>
      <c r="M270" t="s">
        <v>29</v>
      </c>
      <c r="N270" t="s">
        <v>79</v>
      </c>
    </row>
    <row r="271" spans="1:14">
      <c r="A271" t="s">
        <v>839</v>
      </c>
      <c r="B271" t="s">
        <v>811</v>
      </c>
      <c r="C271" t="s">
        <v>840</v>
      </c>
      <c r="D271" t="s">
        <v>69</v>
      </c>
      <c r="E271" t="s">
        <v>34</v>
      </c>
      <c r="F271" t="s">
        <v>47</v>
      </c>
      <c r="G271">
        <v>5</v>
      </c>
      <c r="H271">
        <v>3.46</v>
      </c>
      <c r="I271">
        <v>17.3</v>
      </c>
      <c r="J271">
        <v>10.62</v>
      </c>
      <c r="K271">
        <v>6.68</v>
      </c>
      <c r="L271" t="s">
        <v>20</v>
      </c>
      <c r="M271" t="s">
        <v>29</v>
      </c>
      <c r="N271" t="s">
        <v>841</v>
      </c>
    </row>
    <row r="272" spans="1:14">
      <c r="A272" t="s">
        <v>842</v>
      </c>
      <c r="B272" t="s">
        <v>232</v>
      </c>
      <c r="C272" t="s">
        <v>843</v>
      </c>
      <c r="D272" t="s">
        <v>17</v>
      </c>
      <c r="E272" t="s">
        <v>74</v>
      </c>
      <c r="F272" t="s">
        <v>75</v>
      </c>
      <c r="G272">
        <v>1</v>
      </c>
      <c r="H272">
        <v>6.24</v>
      </c>
      <c r="I272">
        <v>6.24</v>
      </c>
      <c r="J272">
        <v>2.97</v>
      </c>
      <c r="K272">
        <v>3.27</v>
      </c>
      <c r="L272" t="s">
        <v>53</v>
      </c>
      <c r="M272" t="s">
        <v>29</v>
      </c>
      <c r="N272" t="s">
        <v>470</v>
      </c>
    </row>
    <row r="273" spans="1:14">
      <c r="A273" t="s">
        <v>844</v>
      </c>
      <c r="B273" t="s">
        <v>845</v>
      </c>
      <c r="C273" t="s">
        <v>846</v>
      </c>
      <c r="D273" t="s">
        <v>46</v>
      </c>
      <c r="E273" t="s">
        <v>34</v>
      </c>
      <c r="F273" t="s">
        <v>35</v>
      </c>
      <c r="G273">
        <v>4</v>
      </c>
      <c r="H273">
        <v>4.89</v>
      </c>
      <c r="I273">
        <v>19.56</v>
      </c>
      <c r="J273">
        <v>12.44</v>
      </c>
      <c r="K273">
        <v>7.12</v>
      </c>
      <c r="L273" t="s">
        <v>53</v>
      </c>
      <c r="M273" t="s">
        <v>21</v>
      </c>
      <c r="N273" t="s">
        <v>287</v>
      </c>
    </row>
    <row r="274" spans="1:14">
      <c r="A274" t="s">
        <v>847</v>
      </c>
      <c r="B274" t="s">
        <v>848</v>
      </c>
      <c r="C274" t="s">
        <v>849</v>
      </c>
      <c r="D274" t="s">
        <v>17</v>
      </c>
      <c r="E274" t="s">
        <v>74</v>
      </c>
      <c r="F274" t="s">
        <v>92</v>
      </c>
      <c r="G274">
        <v>3</v>
      </c>
      <c r="H274">
        <v>5.37</v>
      </c>
      <c r="I274">
        <v>16.11</v>
      </c>
      <c r="J274">
        <v>9.55</v>
      </c>
      <c r="K274">
        <v>6.56</v>
      </c>
      <c r="L274" t="s">
        <v>20</v>
      </c>
      <c r="M274" t="s">
        <v>29</v>
      </c>
      <c r="N274" t="s">
        <v>850</v>
      </c>
    </row>
    <row r="275" spans="1:14">
      <c r="A275" t="s">
        <v>851</v>
      </c>
      <c r="B275" t="s">
        <v>852</v>
      </c>
      <c r="C275" t="s">
        <v>853</v>
      </c>
      <c r="D275" t="s">
        <v>69</v>
      </c>
      <c r="E275" t="s">
        <v>74</v>
      </c>
      <c r="F275" t="s">
        <v>75</v>
      </c>
      <c r="G275">
        <v>1</v>
      </c>
      <c r="H275">
        <v>4.63</v>
      </c>
      <c r="I275">
        <v>4.63</v>
      </c>
      <c r="J275">
        <v>3.14</v>
      </c>
      <c r="K275">
        <v>1.49</v>
      </c>
      <c r="L275" t="s">
        <v>53</v>
      </c>
      <c r="M275" t="s">
        <v>21</v>
      </c>
      <c r="N275" t="s">
        <v>368</v>
      </c>
    </row>
    <row r="276" spans="1:14">
      <c r="A276" t="s">
        <v>854</v>
      </c>
      <c r="B276" t="s">
        <v>855</v>
      </c>
      <c r="C276" t="s">
        <v>856</v>
      </c>
      <c r="D276" t="s">
        <v>46</v>
      </c>
      <c r="E276" t="s">
        <v>27</v>
      </c>
      <c r="F276" t="s">
        <v>70</v>
      </c>
      <c r="G276">
        <v>3</v>
      </c>
      <c r="H276">
        <v>7.2</v>
      </c>
      <c r="I276">
        <v>21.6</v>
      </c>
      <c r="J276">
        <v>12.12</v>
      </c>
      <c r="K276">
        <v>9.48</v>
      </c>
      <c r="L276" t="s">
        <v>20</v>
      </c>
      <c r="M276" t="s">
        <v>54</v>
      </c>
      <c r="N276" t="s">
        <v>170</v>
      </c>
    </row>
    <row r="277" spans="1:14">
      <c r="A277" t="s">
        <v>857</v>
      </c>
      <c r="B277" t="s">
        <v>858</v>
      </c>
      <c r="C277" t="s">
        <v>321</v>
      </c>
      <c r="D277" t="s">
        <v>69</v>
      </c>
      <c r="E277" t="s">
        <v>27</v>
      </c>
      <c r="F277" t="s">
        <v>169</v>
      </c>
      <c r="G277">
        <v>4</v>
      </c>
      <c r="H277">
        <v>5.53</v>
      </c>
      <c r="I277">
        <v>22.12</v>
      </c>
      <c r="J277">
        <v>10.24</v>
      </c>
      <c r="K277">
        <v>11.88</v>
      </c>
      <c r="L277" t="s">
        <v>53</v>
      </c>
      <c r="M277" t="s">
        <v>29</v>
      </c>
      <c r="N277" t="s">
        <v>93</v>
      </c>
    </row>
    <row r="278" spans="1:14">
      <c r="A278" t="s">
        <v>859</v>
      </c>
      <c r="B278" t="s">
        <v>860</v>
      </c>
      <c r="C278" t="s">
        <v>861</v>
      </c>
      <c r="D278" t="s">
        <v>17</v>
      </c>
      <c r="E278" t="s">
        <v>18</v>
      </c>
      <c r="F278" t="s">
        <v>19</v>
      </c>
      <c r="G278">
        <v>1</v>
      </c>
      <c r="H278">
        <v>5.89</v>
      </c>
      <c r="I278">
        <v>5.89</v>
      </c>
      <c r="J278">
        <v>2.75</v>
      </c>
      <c r="K278">
        <v>3.14</v>
      </c>
      <c r="L278" t="s">
        <v>60</v>
      </c>
      <c r="M278" t="s">
        <v>54</v>
      </c>
      <c r="N278" t="s">
        <v>862</v>
      </c>
    </row>
    <row r="279" spans="1:14">
      <c r="A279" t="s">
        <v>863</v>
      </c>
      <c r="B279" t="s">
        <v>572</v>
      </c>
      <c r="C279" t="s">
        <v>864</v>
      </c>
      <c r="D279" t="s">
        <v>26</v>
      </c>
      <c r="E279" t="s">
        <v>74</v>
      </c>
      <c r="F279" t="s">
        <v>83</v>
      </c>
      <c r="G279">
        <v>1</v>
      </c>
      <c r="H279">
        <v>6.41</v>
      </c>
      <c r="I279">
        <v>6.41</v>
      </c>
      <c r="J279">
        <v>3.42</v>
      </c>
      <c r="K279">
        <v>2.99</v>
      </c>
      <c r="L279" t="s">
        <v>20</v>
      </c>
      <c r="M279" t="s">
        <v>21</v>
      </c>
      <c r="N279" t="s">
        <v>599</v>
      </c>
    </row>
    <row r="280" spans="1:14">
      <c r="A280" t="s">
        <v>865</v>
      </c>
      <c r="B280" t="s">
        <v>697</v>
      </c>
      <c r="C280" t="s">
        <v>741</v>
      </c>
      <c r="D280" t="s">
        <v>17</v>
      </c>
      <c r="E280" t="s">
        <v>18</v>
      </c>
      <c r="F280" t="s">
        <v>41</v>
      </c>
      <c r="G280">
        <v>3</v>
      </c>
      <c r="H280">
        <v>3.06</v>
      </c>
      <c r="I280">
        <v>9.18</v>
      </c>
      <c r="J280">
        <v>5.38</v>
      </c>
      <c r="K280">
        <v>3.8</v>
      </c>
      <c r="L280" t="s">
        <v>60</v>
      </c>
      <c r="M280" t="s">
        <v>29</v>
      </c>
      <c r="N280" t="s">
        <v>257</v>
      </c>
    </row>
    <row r="281" spans="1:14">
      <c r="A281" t="s">
        <v>866</v>
      </c>
      <c r="B281" t="s">
        <v>867</v>
      </c>
      <c r="C281" t="s">
        <v>868</v>
      </c>
      <c r="D281" t="s">
        <v>69</v>
      </c>
      <c r="E281" t="s">
        <v>27</v>
      </c>
      <c r="F281" t="s">
        <v>70</v>
      </c>
      <c r="G281">
        <v>3</v>
      </c>
      <c r="H281">
        <v>7.24</v>
      </c>
      <c r="I281">
        <v>21.72</v>
      </c>
      <c r="J281">
        <v>13</v>
      </c>
      <c r="K281">
        <v>8.72</v>
      </c>
      <c r="L281" t="s">
        <v>36</v>
      </c>
      <c r="M281" t="s">
        <v>21</v>
      </c>
      <c r="N281" t="s">
        <v>101</v>
      </c>
    </row>
    <row r="282" spans="1:14">
      <c r="A282" t="s">
        <v>869</v>
      </c>
      <c r="B282" t="s">
        <v>870</v>
      </c>
      <c r="C282" t="s">
        <v>871</v>
      </c>
      <c r="D282" t="s">
        <v>26</v>
      </c>
      <c r="E282" t="s">
        <v>34</v>
      </c>
      <c r="F282" t="s">
        <v>135</v>
      </c>
      <c r="G282">
        <v>4</v>
      </c>
      <c r="H282">
        <v>6.07</v>
      </c>
      <c r="I282">
        <v>24.28</v>
      </c>
      <c r="J282">
        <v>12.37</v>
      </c>
      <c r="K282">
        <v>11.91</v>
      </c>
      <c r="L282" t="s">
        <v>53</v>
      </c>
      <c r="M282" t="s">
        <v>21</v>
      </c>
      <c r="N282" t="s">
        <v>491</v>
      </c>
    </row>
    <row r="283" spans="1:14">
      <c r="A283" t="s">
        <v>872</v>
      </c>
      <c r="B283" t="s">
        <v>520</v>
      </c>
      <c r="C283" t="s">
        <v>873</v>
      </c>
      <c r="D283" t="s">
        <v>52</v>
      </c>
      <c r="E283" t="s">
        <v>18</v>
      </c>
      <c r="F283" t="s">
        <v>146</v>
      </c>
      <c r="G283">
        <v>3</v>
      </c>
      <c r="H283">
        <v>3.26</v>
      </c>
      <c r="I283">
        <v>9.78</v>
      </c>
      <c r="J283">
        <v>4.7</v>
      </c>
      <c r="K283">
        <v>5.08</v>
      </c>
      <c r="L283" t="s">
        <v>60</v>
      </c>
      <c r="M283" t="s">
        <v>54</v>
      </c>
      <c r="N283" t="s">
        <v>118</v>
      </c>
    </row>
    <row r="284" spans="1:14">
      <c r="A284" t="s">
        <v>874</v>
      </c>
      <c r="B284" t="s">
        <v>875</v>
      </c>
      <c r="C284" t="s">
        <v>876</v>
      </c>
      <c r="D284" t="s">
        <v>17</v>
      </c>
      <c r="E284" t="s">
        <v>74</v>
      </c>
      <c r="F284" t="s">
        <v>75</v>
      </c>
      <c r="G284">
        <v>2</v>
      </c>
      <c r="H284">
        <v>7.73</v>
      </c>
      <c r="I284">
        <v>15.46</v>
      </c>
      <c r="J284">
        <v>7.03</v>
      </c>
      <c r="K284">
        <v>8.43</v>
      </c>
      <c r="L284" t="s">
        <v>20</v>
      </c>
      <c r="M284" t="s">
        <v>29</v>
      </c>
      <c r="N284" t="s">
        <v>88</v>
      </c>
    </row>
    <row r="285" spans="1:14">
      <c r="A285" t="s">
        <v>877</v>
      </c>
      <c r="B285" t="s">
        <v>628</v>
      </c>
      <c r="C285" t="s">
        <v>878</v>
      </c>
      <c r="D285" t="s">
        <v>17</v>
      </c>
      <c r="E285" t="s">
        <v>34</v>
      </c>
      <c r="F285" t="s">
        <v>59</v>
      </c>
      <c r="G285">
        <v>2</v>
      </c>
      <c r="H285">
        <v>3.89</v>
      </c>
      <c r="I285">
        <v>7.78</v>
      </c>
      <c r="J285">
        <v>4.28</v>
      </c>
      <c r="K285">
        <v>3.5</v>
      </c>
      <c r="L285" t="s">
        <v>53</v>
      </c>
      <c r="M285" t="s">
        <v>29</v>
      </c>
      <c r="N285" t="s">
        <v>401</v>
      </c>
    </row>
    <row r="286" spans="1:14">
      <c r="A286" t="s">
        <v>879</v>
      </c>
      <c r="B286" t="s">
        <v>880</v>
      </c>
      <c r="C286" t="s">
        <v>881</v>
      </c>
      <c r="D286" t="s">
        <v>46</v>
      </c>
      <c r="E286" t="s">
        <v>74</v>
      </c>
      <c r="F286" t="s">
        <v>92</v>
      </c>
      <c r="G286">
        <v>3</v>
      </c>
      <c r="H286">
        <v>3.29</v>
      </c>
      <c r="I286">
        <v>9.87</v>
      </c>
      <c r="J286">
        <v>6.68</v>
      </c>
      <c r="K286">
        <v>3.19</v>
      </c>
      <c r="L286" t="s">
        <v>36</v>
      </c>
      <c r="M286" t="s">
        <v>21</v>
      </c>
      <c r="N286" t="s">
        <v>97</v>
      </c>
    </row>
    <row r="287" spans="1:14">
      <c r="A287" t="s">
        <v>882</v>
      </c>
      <c r="B287" t="s">
        <v>292</v>
      </c>
      <c r="C287" t="s">
        <v>883</v>
      </c>
      <c r="D287" t="s">
        <v>46</v>
      </c>
      <c r="E287" t="s">
        <v>74</v>
      </c>
      <c r="F287" t="s">
        <v>92</v>
      </c>
      <c r="G287">
        <v>3</v>
      </c>
      <c r="H287">
        <v>7.79</v>
      </c>
      <c r="I287">
        <v>23.37</v>
      </c>
      <c r="J287">
        <v>13.36</v>
      </c>
      <c r="K287">
        <v>10.01</v>
      </c>
      <c r="L287" t="s">
        <v>60</v>
      </c>
      <c r="M287" t="s">
        <v>54</v>
      </c>
      <c r="N287" t="s">
        <v>431</v>
      </c>
    </row>
    <row r="288" spans="1:14">
      <c r="A288" t="s">
        <v>884</v>
      </c>
      <c r="B288" t="s">
        <v>885</v>
      </c>
      <c r="C288" t="s">
        <v>886</v>
      </c>
      <c r="D288" t="s">
        <v>17</v>
      </c>
      <c r="E288" t="s">
        <v>34</v>
      </c>
      <c r="F288" t="s">
        <v>47</v>
      </c>
      <c r="G288">
        <v>5</v>
      </c>
      <c r="H288">
        <v>6.05</v>
      </c>
      <c r="I288">
        <v>30.25</v>
      </c>
      <c r="J288">
        <v>18.04</v>
      </c>
      <c r="K288">
        <v>12.21</v>
      </c>
      <c r="L288" t="s">
        <v>53</v>
      </c>
      <c r="M288" t="s">
        <v>21</v>
      </c>
      <c r="N288" t="s">
        <v>887</v>
      </c>
    </row>
    <row r="289" spans="1:14">
      <c r="A289" t="s">
        <v>888</v>
      </c>
      <c r="B289" t="s">
        <v>63</v>
      </c>
      <c r="C289" t="s">
        <v>889</v>
      </c>
      <c r="D289" t="s">
        <v>26</v>
      </c>
      <c r="E289" t="s">
        <v>74</v>
      </c>
      <c r="F289" t="s">
        <v>75</v>
      </c>
      <c r="G289">
        <v>4</v>
      </c>
      <c r="H289">
        <v>2.6</v>
      </c>
      <c r="I289">
        <v>10.4</v>
      </c>
      <c r="J289">
        <v>4.84</v>
      </c>
      <c r="K289">
        <v>5.56</v>
      </c>
      <c r="L289" t="s">
        <v>53</v>
      </c>
      <c r="M289" t="s">
        <v>29</v>
      </c>
      <c r="N289" t="s">
        <v>287</v>
      </c>
    </row>
    <row r="290" spans="1:14">
      <c r="A290" t="s">
        <v>890</v>
      </c>
      <c r="B290" t="s">
        <v>880</v>
      </c>
      <c r="C290" t="s">
        <v>662</v>
      </c>
      <c r="D290" t="s">
        <v>17</v>
      </c>
      <c r="E290" t="s">
        <v>74</v>
      </c>
      <c r="F290" t="s">
        <v>83</v>
      </c>
      <c r="G290">
        <v>5</v>
      </c>
      <c r="H290">
        <v>4.19</v>
      </c>
      <c r="I290">
        <v>20.95</v>
      </c>
      <c r="J290">
        <v>9.69</v>
      </c>
      <c r="K290">
        <v>11.26</v>
      </c>
      <c r="L290" t="s">
        <v>20</v>
      </c>
      <c r="M290" t="s">
        <v>29</v>
      </c>
      <c r="N290" t="s">
        <v>238</v>
      </c>
    </row>
    <row r="291" spans="1:14">
      <c r="A291" t="s">
        <v>891</v>
      </c>
      <c r="B291" t="s">
        <v>710</v>
      </c>
      <c r="C291" t="s">
        <v>892</v>
      </c>
      <c r="D291" t="s">
        <v>46</v>
      </c>
      <c r="E291" t="s">
        <v>27</v>
      </c>
      <c r="F291" t="s">
        <v>125</v>
      </c>
      <c r="G291">
        <v>1</v>
      </c>
      <c r="H291">
        <v>3.56</v>
      </c>
      <c r="I291">
        <v>3.56</v>
      </c>
      <c r="J291">
        <v>1.93</v>
      </c>
      <c r="K291">
        <v>1.63</v>
      </c>
      <c r="L291" t="s">
        <v>60</v>
      </c>
      <c r="M291" t="s">
        <v>54</v>
      </c>
      <c r="N291" t="s">
        <v>794</v>
      </c>
    </row>
    <row r="292" spans="1:14">
      <c r="A292" t="s">
        <v>893</v>
      </c>
      <c r="B292" t="s">
        <v>255</v>
      </c>
      <c r="C292" t="s">
        <v>894</v>
      </c>
      <c r="D292" t="s">
        <v>26</v>
      </c>
      <c r="E292" t="s">
        <v>18</v>
      </c>
      <c r="F292" t="s">
        <v>41</v>
      </c>
      <c r="G292">
        <v>3</v>
      </c>
      <c r="H292">
        <v>6.86</v>
      </c>
      <c r="I292">
        <v>20.58</v>
      </c>
      <c r="J292">
        <v>13.49</v>
      </c>
      <c r="K292">
        <v>7.09</v>
      </c>
      <c r="L292" t="s">
        <v>36</v>
      </c>
      <c r="M292" t="s">
        <v>54</v>
      </c>
      <c r="N292" t="s">
        <v>727</v>
      </c>
    </row>
    <row r="293" spans="1:14">
      <c r="A293" t="s">
        <v>895</v>
      </c>
      <c r="B293" t="s">
        <v>681</v>
      </c>
      <c r="C293" t="s">
        <v>180</v>
      </c>
      <c r="D293" t="s">
        <v>52</v>
      </c>
      <c r="E293" t="s">
        <v>74</v>
      </c>
      <c r="F293" t="s">
        <v>83</v>
      </c>
      <c r="G293">
        <v>2</v>
      </c>
      <c r="H293">
        <v>3.11</v>
      </c>
      <c r="I293">
        <v>6.22</v>
      </c>
      <c r="J293">
        <v>3.31</v>
      </c>
      <c r="K293">
        <v>2.91</v>
      </c>
      <c r="L293" t="s">
        <v>53</v>
      </c>
      <c r="M293" t="s">
        <v>29</v>
      </c>
      <c r="N293" t="s">
        <v>896</v>
      </c>
    </row>
    <row r="294" spans="1:14">
      <c r="A294" t="s">
        <v>897</v>
      </c>
      <c r="B294" t="s">
        <v>898</v>
      </c>
      <c r="C294" t="s">
        <v>899</v>
      </c>
      <c r="D294" t="s">
        <v>52</v>
      </c>
      <c r="E294" t="s">
        <v>18</v>
      </c>
      <c r="F294" t="s">
        <v>19</v>
      </c>
      <c r="G294">
        <v>4</v>
      </c>
      <c r="H294">
        <v>3.15</v>
      </c>
      <c r="I294">
        <v>12.6</v>
      </c>
      <c r="J294">
        <v>8.21</v>
      </c>
      <c r="K294">
        <v>4.39</v>
      </c>
      <c r="L294" t="s">
        <v>53</v>
      </c>
      <c r="M294" t="s">
        <v>29</v>
      </c>
      <c r="N294" t="s">
        <v>30</v>
      </c>
    </row>
    <row r="295" spans="1:14">
      <c r="A295" t="s">
        <v>900</v>
      </c>
      <c r="B295" t="s">
        <v>269</v>
      </c>
      <c r="C295" t="s">
        <v>901</v>
      </c>
      <c r="D295" t="s">
        <v>52</v>
      </c>
      <c r="E295" t="s">
        <v>27</v>
      </c>
      <c r="F295" t="s">
        <v>169</v>
      </c>
      <c r="G295">
        <v>5</v>
      </c>
      <c r="H295">
        <v>3.93</v>
      </c>
      <c r="I295">
        <v>19.65</v>
      </c>
      <c r="J295">
        <v>8.84</v>
      </c>
      <c r="K295">
        <v>10.81</v>
      </c>
      <c r="L295" t="s">
        <v>60</v>
      </c>
      <c r="M295" t="s">
        <v>29</v>
      </c>
      <c r="N295" t="s">
        <v>238</v>
      </c>
    </row>
    <row r="296" spans="1:14">
      <c r="A296" t="s">
        <v>902</v>
      </c>
      <c r="B296" t="s">
        <v>903</v>
      </c>
      <c r="C296" t="s">
        <v>465</v>
      </c>
      <c r="D296" t="s">
        <v>69</v>
      </c>
      <c r="E296" t="s">
        <v>18</v>
      </c>
      <c r="F296" t="s">
        <v>146</v>
      </c>
      <c r="G296">
        <v>1</v>
      </c>
      <c r="H296">
        <v>6.12</v>
      </c>
      <c r="I296">
        <v>6.12</v>
      </c>
      <c r="J296">
        <v>4.04</v>
      </c>
      <c r="K296">
        <v>2.08</v>
      </c>
      <c r="L296" t="s">
        <v>36</v>
      </c>
      <c r="M296" t="s">
        <v>21</v>
      </c>
      <c r="N296" t="s">
        <v>794</v>
      </c>
    </row>
    <row r="297" spans="1:14">
      <c r="A297" t="s">
        <v>904</v>
      </c>
      <c r="B297" t="s">
        <v>905</v>
      </c>
      <c r="C297" t="s">
        <v>906</v>
      </c>
      <c r="D297" t="s">
        <v>46</v>
      </c>
      <c r="E297" t="s">
        <v>74</v>
      </c>
      <c r="F297" t="s">
        <v>92</v>
      </c>
      <c r="G297">
        <v>1</v>
      </c>
      <c r="H297">
        <v>3.88</v>
      </c>
      <c r="I297">
        <v>3.88</v>
      </c>
      <c r="J297">
        <v>1.79</v>
      </c>
      <c r="K297">
        <v>2.09</v>
      </c>
      <c r="L297" t="s">
        <v>36</v>
      </c>
      <c r="M297" t="s">
        <v>21</v>
      </c>
      <c r="N297" t="s">
        <v>381</v>
      </c>
    </row>
    <row r="298" spans="1:14">
      <c r="A298" t="s">
        <v>907</v>
      </c>
      <c r="B298" t="s">
        <v>908</v>
      </c>
      <c r="C298" t="s">
        <v>909</v>
      </c>
      <c r="D298" t="s">
        <v>46</v>
      </c>
      <c r="E298" t="s">
        <v>18</v>
      </c>
      <c r="F298" t="s">
        <v>41</v>
      </c>
      <c r="G298">
        <v>4</v>
      </c>
      <c r="H298">
        <v>3.88</v>
      </c>
      <c r="I298">
        <v>15.52</v>
      </c>
      <c r="J298">
        <v>9.7</v>
      </c>
      <c r="K298">
        <v>5.82</v>
      </c>
      <c r="L298" t="s">
        <v>20</v>
      </c>
      <c r="M298" t="s">
        <v>29</v>
      </c>
      <c r="N298" t="s">
        <v>352</v>
      </c>
    </row>
    <row r="299" spans="1:14">
      <c r="A299" t="s">
        <v>910</v>
      </c>
      <c r="B299" t="s">
        <v>911</v>
      </c>
      <c r="C299" t="s">
        <v>912</v>
      </c>
      <c r="D299" t="s">
        <v>17</v>
      </c>
      <c r="E299" t="s">
        <v>18</v>
      </c>
      <c r="F299" t="s">
        <v>146</v>
      </c>
      <c r="G299">
        <v>5</v>
      </c>
      <c r="H299">
        <v>5.61</v>
      </c>
      <c r="I299">
        <v>28.05</v>
      </c>
      <c r="J299">
        <v>18.02</v>
      </c>
      <c r="K299">
        <v>10.03</v>
      </c>
      <c r="L299" t="s">
        <v>20</v>
      </c>
      <c r="M299" t="s">
        <v>54</v>
      </c>
      <c r="N299" t="s">
        <v>118</v>
      </c>
    </row>
    <row r="300" spans="1:14">
      <c r="A300" t="s">
        <v>913</v>
      </c>
      <c r="B300" t="s">
        <v>412</v>
      </c>
      <c r="C300" t="s">
        <v>914</v>
      </c>
      <c r="D300" t="s">
        <v>52</v>
      </c>
      <c r="E300" t="s">
        <v>74</v>
      </c>
      <c r="F300" t="s">
        <v>75</v>
      </c>
      <c r="G300">
        <v>2</v>
      </c>
      <c r="H300">
        <v>4.97</v>
      </c>
      <c r="I300">
        <v>9.94</v>
      </c>
      <c r="J300">
        <v>6.2</v>
      </c>
      <c r="K300">
        <v>3.74</v>
      </c>
      <c r="L300" t="s">
        <v>53</v>
      </c>
      <c r="M300" t="s">
        <v>21</v>
      </c>
      <c r="N300" t="s">
        <v>915</v>
      </c>
    </row>
    <row r="301" spans="1:14">
      <c r="A301" t="s">
        <v>916</v>
      </c>
      <c r="B301" t="s">
        <v>875</v>
      </c>
      <c r="C301" t="s">
        <v>917</v>
      </c>
      <c r="D301" t="s">
        <v>69</v>
      </c>
      <c r="E301" t="s">
        <v>34</v>
      </c>
      <c r="F301" t="s">
        <v>130</v>
      </c>
      <c r="G301">
        <v>1</v>
      </c>
      <c r="H301">
        <v>6.78</v>
      </c>
      <c r="I301">
        <v>6.78</v>
      </c>
      <c r="J301">
        <v>4.14</v>
      </c>
      <c r="K301">
        <v>2.64</v>
      </c>
      <c r="L301" t="s">
        <v>36</v>
      </c>
      <c r="M301" t="s">
        <v>54</v>
      </c>
      <c r="N301" t="s">
        <v>111</v>
      </c>
    </row>
    <row r="302" spans="1:14">
      <c r="A302" t="s">
        <v>918</v>
      </c>
      <c r="B302" t="s">
        <v>919</v>
      </c>
      <c r="C302" t="s">
        <v>920</v>
      </c>
      <c r="D302" t="s">
        <v>69</v>
      </c>
      <c r="E302" t="s">
        <v>18</v>
      </c>
      <c r="F302" t="s">
        <v>41</v>
      </c>
      <c r="G302">
        <v>4</v>
      </c>
      <c r="H302">
        <v>5.33</v>
      </c>
      <c r="I302">
        <v>21.32</v>
      </c>
      <c r="J302">
        <v>10</v>
      </c>
      <c r="K302">
        <v>11.32</v>
      </c>
      <c r="L302" t="s">
        <v>60</v>
      </c>
      <c r="M302" t="s">
        <v>21</v>
      </c>
      <c r="N302" t="s">
        <v>491</v>
      </c>
    </row>
    <row r="303" spans="1:14">
      <c r="A303" t="s">
        <v>921</v>
      </c>
      <c r="B303" t="s">
        <v>922</v>
      </c>
      <c r="C303" t="s">
        <v>923</v>
      </c>
      <c r="D303" t="s">
        <v>26</v>
      </c>
      <c r="E303" t="s">
        <v>34</v>
      </c>
      <c r="F303" t="s">
        <v>135</v>
      </c>
      <c r="G303">
        <v>5</v>
      </c>
      <c r="H303">
        <v>5.56</v>
      </c>
      <c r="I303">
        <v>27.8</v>
      </c>
      <c r="J303">
        <v>13.41</v>
      </c>
      <c r="K303">
        <v>14.39</v>
      </c>
      <c r="L303" t="s">
        <v>60</v>
      </c>
      <c r="M303" t="s">
        <v>54</v>
      </c>
      <c r="N303" t="s">
        <v>142</v>
      </c>
    </row>
    <row r="304" spans="1:14">
      <c r="A304" t="s">
        <v>924</v>
      </c>
      <c r="B304" t="s">
        <v>925</v>
      </c>
      <c r="C304" t="s">
        <v>926</v>
      </c>
      <c r="D304" t="s">
        <v>26</v>
      </c>
      <c r="E304" t="s">
        <v>18</v>
      </c>
      <c r="F304" t="s">
        <v>41</v>
      </c>
      <c r="G304">
        <v>3</v>
      </c>
      <c r="H304">
        <v>6.05</v>
      </c>
      <c r="I304">
        <v>18.15</v>
      </c>
      <c r="J304">
        <v>11.74</v>
      </c>
      <c r="K304">
        <v>6.41</v>
      </c>
      <c r="L304" t="s">
        <v>60</v>
      </c>
      <c r="M304" t="s">
        <v>54</v>
      </c>
      <c r="N304" t="s">
        <v>30</v>
      </c>
    </row>
    <row r="305" spans="1:14">
      <c r="A305" t="s">
        <v>927</v>
      </c>
      <c r="B305" t="s">
        <v>928</v>
      </c>
      <c r="C305" t="s">
        <v>929</v>
      </c>
      <c r="D305" t="s">
        <v>17</v>
      </c>
      <c r="E305" t="s">
        <v>74</v>
      </c>
      <c r="F305" t="s">
        <v>92</v>
      </c>
      <c r="G305">
        <v>1</v>
      </c>
      <c r="H305">
        <v>4.41</v>
      </c>
      <c r="I305">
        <v>4.41</v>
      </c>
      <c r="J305">
        <v>3.03</v>
      </c>
      <c r="K305">
        <v>1.38</v>
      </c>
      <c r="L305" t="s">
        <v>53</v>
      </c>
      <c r="M305" t="s">
        <v>29</v>
      </c>
      <c r="N305" t="s">
        <v>574</v>
      </c>
    </row>
    <row r="306" spans="1:14">
      <c r="A306" t="s">
        <v>930</v>
      </c>
      <c r="B306" t="s">
        <v>925</v>
      </c>
      <c r="C306" t="s">
        <v>931</v>
      </c>
      <c r="D306" t="s">
        <v>46</v>
      </c>
      <c r="E306" t="s">
        <v>27</v>
      </c>
      <c r="F306" t="s">
        <v>169</v>
      </c>
      <c r="G306">
        <v>1</v>
      </c>
      <c r="H306">
        <v>7.58</v>
      </c>
      <c r="I306">
        <v>7.58</v>
      </c>
      <c r="J306">
        <v>3.43</v>
      </c>
      <c r="K306">
        <v>4.15</v>
      </c>
      <c r="L306" t="s">
        <v>60</v>
      </c>
      <c r="M306" t="s">
        <v>29</v>
      </c>
      <c r="N306" t="s">
        <v>170</v>
      </c>
    </row>
    <row r="307" spans="1:14">
      <c r="A307" t="s">
        <v>932</v>
      </c>
      <c r="B307" t="s">
        <v>601</v>
      </c>
      <c r="C307" t="s">
        <v>933</v>
      </c>
      <c r="D307" t="s">
        <v>26</v>
      </c>
      <c r="E307" t="s">
        <v>74</v>
      </c>
      <c r="F307" t="s">
        <v>83</v>
      </c>
      <c r="G307">
        <v>3</v>
      </c>
      <c r="H307">
        <v>4.24</v>
      </c>
      <c r="I307">
        <v>12.72</v>
      </c>
      <c r="J307">
        <v>6.18</v>
      </c>
      <c r="K307">
        <v>6.54</v>
      </c>
      <c r="L307" t="s">
        <v>20</v>
      </c>
      <c r="M307" t="s">
        <v>54</v>
      </c>
      <c r="N307" t="s">
        <v>497</v>
      </c>
    </row>
    <row r="308" spans="1:14">
      <c r="A308" t="s">
        <v>934</v>
      </c>
      <c r="B308" t="s">
        <v>935</v>
      </c>
      <c r="C308" t="s">
        <v>702</v>
      </c>
      <c r="D308" t="s">
        <v>26</v>
      </c>
      <c r="E308" t="s">
        <v>74</v>
      </c>
      <c r="F308" t="s">
        <v>75</v>
      </c>
      <c r="G308">
        <v>1</v>
      </c>
      <c r="H308">
        <v>4.56</v>
      </c>
      <c r="I308">
        <v>4.56</v>
      </c>
      <c r="J308">
        <v>3.09</v>
      </c>
      <c r="K308">
        <v>1.47</v>
      </c>
      <c r="L308" t="s">
        <v>53</v>
      </c>
      <c r="M308" t="s">
        <v>54</v>
      </c>
      <c r="N308" t="s">
        <v>783</v>
      </c>
    </row>
    <row r="309" spans="1:14">
      <c r="A309" t="s">
        <v>936</v>
      </c>
      <c r="B309" t="s">
        <v>937</v>
      </c>
      <c r="C309" t="s">
        <v>938</v>
      </c>
      <c r="D309" t="s">
        <v>52</v>
      </c>
      <c r="E309" t="s">
        <v>34</v>
      </c>
      <c r="F309" t="s">
        <v>59</v>
      </c>
      <c r="G309">
        <v>2</v>
      </c>
      <c r="H309">
        <v>5.17</v>
      </c>
      <c r="I309">
        <v>10.34</v>
      </c>
      <c r="J309">
        <v>6.46</v>
      </c>
      <c r="K309">
        <v>3.88</v>
      </c>
      <c r="L309" t="s">
        <v>36</v>
      </c>
      <c r="M309" t="s">
        <v>21</v>
      </c>
      <c r="N309" t="s">
        <v>126</v>
      </c>
    </row>
    <row r="310" spans="1:14">
      <c r="A310" t="s">
        <v>939</v>
      </c>
      <c r="B310" t="s">
        <v>940</v>
      </c>
      <c r="C310" t="s">
        <v>413</v>
      </c>
      <c r="D310" t="s">
        <v>69</v>
      </c>
      <c r="E310" t="s">
        <v>27</v>
      </c>
      <c r="F310" t="s">
        <v>70</v>
      </c>
      <c r="G310">
        <v>1</v>
      </c>
      <c r="H310">
        <v>5.23</v>
      </c>
      <c r="I310">
        <v>5.23</v>
      </c>
      <c r="J310">
        <v>3.24</v>
      </c>
      <c r="K310">
        <v>1.99</v>
      </c>
      <c r="L310" t="s">
        <v>20</v>
      </c>
      <c r="M310" t="s">
        <v>54</v>
      </c>
      <c r="N310" t="s">
        <v>147</v>
      </c>
    </row>
    <row r="311" spans="1:14">
      <c r="A311" t="s">
        <v>941</v>
      </c>
      <c r="B311" t="s">
        <v>167</v>
      </c>
      <c r="C311" t="s">
        <v>899</v>
      </c>
      <c r="D311" t="s">
        <v>69</v>
      </c>
      <c r="E311" t="s">
        <v>34</v>
      </c>
      <c r="F311" t="s">
        <v>47</v>
      </c>
      <c r="G311">
        <v>4</v>
      </c>
      <c r="H311">
        <v>2.68</v>
      </c>
      <c r="I311">
        <v>10.72</v>
      </c>
      <c r="J311">
        <v>5.78</v>
      </c>
      <c r="K311">
        <v>4.94</v>
      </c>
      <c r="L311" t="s">
        <v>20</v>
      </c>
      <c r="M311" t="s">
        <v>21</v>
      </c>
      <c r="N311" t="s">
        <v>497</v>
      </c>
    </row>
    <row r="312" spans="1:14">
      <c r="A312" t="s">
        <v>942</v>
      </c>
      <c r="B312" t="s">
        <v>937</v>
      </c>
      <c r="C312" t="s">
        <v>943</v>
      </c>
      <c r="D312" t="s">
        <v>52</v>
      </c>
      <c r="E312" t="s">
        <v>34</v>
      </c>
      <c r="F312" t="s">
        <v>35</v>
      </c>
      <c r="G312">
        <v>4</v>
      </c>
      <c r="H312">
        <v>6.49</v>
      </c>
      <c r="I312">
        <v>25.96</v>
      </c>
      <c r="J312">
        <v>13.27</v>
      </c>
      <c r="K312">
        <v>12.69</v>
      </c>
      <c r="L312" t="s">
        <v>60</v>
      </c>
      <c r="M312" t="s">
        <v>29</v>
      </c>
      <c r="N312" t="s">
        <v>278</v>
      </c>
    </row>
    <row r="313" spans="1:14">
      <c r="A313" t="s">
        <v>944</v>
      </c>
      <c r="B313" t="s">
        <v>945</v>
      </c>
      <c r="C313" t="s">
        <v>946</v>
      </c>
      <c r="D313" t="s">
        <v>26</v>
      </c>
      <c r="E313" t="s">
        <v>74</v>
      </c>
      <c r="F313" t="s">
        <v>92</v>
      </c>
      <c r="G313">
        <v>4</v>
      </c>
      <c r="H313">
        <v>7.37</v>
      </c>
      <c r="I313">
        <v>29.48</v>
      </c>
      <c r="J313">
        <v>15.15</v>
      </c>
      <c r="K313">
        <v>14.33</v>
      </c>
      <c r="L313" t="s">
        <v>60</v>
      </c>
      <c r="M313" t="s">
        <v>29</v>
      </c>
      <c r="N313" t="s">
        <v>55</v>
      </c>
    </row>
    <row r="314" spans="1:14">
      <c r="A314" t="s">
        <v>947</v>
      </c>
      <c r="B314" t="s">
        <v>566</v>
      </c>
      <c r="C314" t="s">
        <v>948</v>
      </c>
      <c r="D314" t="s">
        <v>26</v>
      </c>
      <c r="E314" t="s">
        <v>34</v>
      </c>
      <c r="F314" t="s">
        <v>35</v>
      </c>
      <c r="G314">
        <v>4</v>
      </c>
      <c r="H314">
        <v>6.81</v>
      </c>
      <c r="I314">
        <v>27.24</v>
      </c>
      <c r="J314">
        <v>17.21</v>
      </c>
      <c r="K314">
        <v>10.03</v>
      </c>
      <c r="L314" t="s">
        <v>36</v>
      </c>
      <c r="M314" t="s">
        <v>54</v>
      </c>
      <c r="N314" t="s">
        <v>744</v>
      </c>
    </row>
    <row r="315" spans="1:14">
      <c r="A315" t="s">
        <v>949</v>
      </c>
      <c r="B315" t="s">
        <v>768</v>
      </c>
      <c r="C315" t="s">
        <v>950</v>
      </c>
      <c r="D315" t="s">
        <v>17</v>
      </c>
      <c r="E315" t="s">
        <v>18</v>
      </c>
      <c r="F315" t="s">
        <v>146</v>
      </c>
      <c r="G315">
        <v>1</v>
      </c>
      <c r="H315">
        <v>7.84</v>
      </c>
      <c r="I315">
        <v>7.84</v>
      </c>
      <c r="J315">
        <v>3.73</v>
      </c>
      <c r="K315">
        <v>4.11</v>
      </c>
      <c r="L315" t="s">
        <v>20</v>
      </c>
      <c r="M315" t="s">
        <v>54</v>
      </c>
      <c r="N315" t="s">
        <v>373</v>
      </c>
    </row>
    <row r="316" spans="1:14">
      <c r="A316" t="s">
        <v>951</v>
      </c>
      <c r="B316" t="s">
        <v>952</v>
      </c>
      <c r="C316" t="s">
        <v>953</v>
      </c>
      <c r="D316" t="s">
        <v>17</v>
      </c>
      <c r="E316" t="s">
        <v>18</v>
      </c>
      <c r="F316" t="s">
        <v>19</v>
      </c>
      <c r="G316">
        <v>1</v>
      </c>
      <c r="H316">
        <v>5.3</v>
      </c>
      <c r="I316">
        <v>5.3</v>
      </c>
      <c r="J316">
        <v>2.43</v>
      </c>
      <c r="K316">
        <v>2.87</v>
      </c>
      <c r="L316" t="s">
        <v>60</v>
      </c>
      <c r="M316" t="s">
        <v>29</v>
      </c>
      <c r="N316" t="s">
        <v>118</v>
      </c>
    </row>
    <row r="317" spans="1:14">
      <c r="A317" t="s">
        <v>954</v>
      </c>
      <c r="B317" t="s">
        <v>57</v>
      </c>
      <c r="C317" t="s">
        <v>955</v>
      </c>
      <c r="D317" t="s">
        <v>17</v>
      </c>
      <c r="E317" t="s">
        <v>27</v>
      </c>
      <c r="F317" t="s">
        <v>169</v>
      </c>
      <c r="G317">
        <v>4</v>
      </c>
      <c r="H317">
        <v>2.53</v>
      </c>
      <c r="I317">
        <v>10.12</v>
      </c>
      <c r="J317">
        <v>5.99</v>
      </c>
      <c r="K317">
        <v>4.13</v>
      </c>
      <c r="L317" t="s">
        <v>60</v>
      </c>
      <c r="M317" t="s">
        <v>29</v>
      </c>
      <c r="N317" t="s">
        <v>285</v>
      </c>
    </row>
    <row r="318" spans="1:14">
      <c r="A318" t="s">
        <v>956</v>
      </c>
      <c r="B318" t="s">
        <v>957</v>
      </c>
      <c r="C318" t="s">
        <v>958</v>
      </c>
      <c r="D318" t="s">
        <v>46</v>
      </c>
      <c r="E318" t="s">
        <v>18</v>
      </c>
      <c r="F318" t="s">
        <v>19</v>
      </c>
      <c r="G318">
        <v>5</v>
      </c>
      <c r="H318">
        <v>6.11</v>
      </c>
      <c r="I318">
        <v>30.55</v>
      </c>
      <c r="J318">
        <v>14.82</v>
      </c>
      <c r="K318">
        <v>15.73</v>
      </c>
      <c r="L318" t="s">
        <v>20</v>
      </c>
      <c r="M318" t="s">
        <v>54</v>
      </c>
      <c r="N318" t="s">
        <v>37</v>
      </c>
    </row>
    <row r="319" spans="1:14">
      <c r="A319" t="s">
        <v>959</v>
      </c>
      <c r="B319" t="s">
        <v>354</v>
      </c>
      <c r="C319" t="s">
        <v>960</v>
      </c>
      <c r="D319" t="s">
        <v>52</v>
      </c>
      <c r="E319" t="s">
        <v>34</v>
      </c>
      <c r="F319" t="s">
        <v>47</v>
      </c>
      <c r="G319">
        <v>4</v>
      </c>
      <c r="H319">
        <v>5.28</v>
      </c>
      <c r="I319">
        <v>21.12</v>
      </c>
      <c r="J319">
        <v>14.04</v>
      </c>
      <c r="K319">
        <v>7.08</v>
      </c>
      <c r="L319" t="s">
        <v>53</v>
      </c>
      <c r="M319" t="s">
        <v>29</v>
      </c>
      <c r="N319" t="s">
        <v>101</v>
      </c>
    </row>
    <row r="320" spans="1:14">
      <c r="A320" t="s">
        <v>961</v>
      </c>
      <c r="B320" t="s">
        <v>681</v>
      </c>
      <c r="C320" t="s">
        <v>962</v>
      </c>
      <c r="D320" t="s">
        <v>17</v>
      </c>
      <c r="E320" t="s">
        <v>74</v>
      </c>
      <c r="F320" t="s">
        <v>75</v>
      </c>
      <c r="G320">
        <v>4</v>
      </c>
      <c r="H320">
        <v>5.18</v>
      </c>
      <c r="I320">
        <v>20.72</v>
      </c>
      <c r="J320">
        <v>11.4</v>
      </c>
      <c r="K320">
        <v>9.32</v>
      </c>
      <c r="L320" t="s">
        <v>20</v>
      </c>
      <c r="M320" t="s">
        <v>54</v>
      </c>
      <c r="N320" t="s">
        <v>727</v>
      </c>
    </row>
    <row r="321" spans="1:14">
      <c r="A321" t="s">
        <v>963</v>
      </c>
      <c r="B321" t="s">
        <v>964</v>
      </c>
      <c r="C321" t="s">
        <v>393</v>
      </c>
      <c r="D321" t="s">
        <v>26</v>
      </c>
      <c r="E321" t="s">
        <v>74</v>
      </c>
      <c r="F321" t="s">
        <v>75</v>
      </c>
      <c r="G321">
        <v>1</v>
      </c>
      <c r="H321">
        <v>4</v>
      </c>
      <c r="I321">
        <v>4</v>
      </c>
      <c r="J321">
        <v>1.9</v>
      </c>
      <c r="K321">
        <v>2.1</v>
      </c>
      <c r="L321" t="s">
        <v>36</v>
      </c>
      <c r="M321" t="s">
        <v>21</v>
      </c>
      <c r="N321" t="s">
        <v>42</v>
      </c>
    </row>
    <row r="322" spans="1:14">
      <c r="A322" t="s">
        <v>965</v>
      </c>
      <c r="B322" t="s">
        <v>966</v>
      </c>
      <c r="C322" t="s">
        <v>914</v>
      </c>
      <c r="D322" t="s">
        <v>46</v>
      </c>
      <c r="E322" t="s">
        <v>34</v>
      </c>
      <c r="F322" t="s">
        <v>35</v>
      </c>
      <c r="G322">
        <v>4</v>
      </c>
      <c r="H322">
        <v>7.29</v>
      </c>
      <c r="I322">
        <v>29.16</v>
      </c>
      <c r="J322">
        <v>15.18</v>
      </c>
      <c r="K322">
        <v>13.98</v>
      </c>
      <c r="L322" t="s">
        <v>60</v>
      </c>
      <c r="M322" t="s">
        <v>29</v>
      </c>
      <c r="N322" t="s">
        <v>534</v>
      </c>
    </row>
    <row r="323" spans="1:14">
      <c r="A323" t="s">
        <v>967</v>
      </c>
      <c r="B323" t="s">
        <v>968</v>
      </c>
      <c r="C323" t="s">
        <v>969</v>
      </c>
      <c r="D323" t="s">
        <v>46</v>
      </c>
      <c r="E323" t="s">
        <v>34</v>
      </c>
      <c r="F323" t="s">
        <v>59</v>
      </c>
      <c r="G323">
        <v>5</v>
      </c>
      <c r="H323">
        <v>6.88</v>
      </c>
      <c r="I323">
        <v>34.4</v>
      </c>
      <c r="J323">
        <v>20.17</v>
      </c>
      <c r="K323">
        <v>14.23</v>
      </c>
      <c r="L323" t="s">
        <v>20</v>
      </c>
      <c r="M323" t="s">
        <v>54</v>
      </c>
      <c r="N323" t="s">
        <v>970</v>
      </c>
    </row>
    <row r="324" spans="1:14">
      <c r="A324" t="s">
        <v>971</v>
      </c>
      <c r="B324" t="s">
        <v>774</v>
      </c>
      <c r="C324" t="s">
        <v>972</v>
      </c>
      <c r="D324" t="s">
        <v>46</v>
      </c>
      <c r="E324" t="s">
        <v>74</v>
      </c>
      <c r="F324" t="s">
        <v>83</v>
      </c>
      <c r="G324">
        <v>2</v>
      </c>
      <c r="H324">
        <v>7.95</v>
      </c>
      <c r="I324">
        <v>15.9</v>
      </c>
      <c r="J324">
        <v>8.26</v>
      </c>
      <c r="K324">
        <v>7.64</v>
      </c>
      <c r="L324" t="s">
        <v>53</v>
      </c>
      <c r="M324" t="s">
        <v>54</v>
      </c>
      <c r="N324" t="s">
        <v>55</v>
      </c>
    </row>
    <row r="325" spans="1:14">
      <c r="A325" t="s">
        <v>973</v>
      </c>
      <c r="B325" t="s">
        <v>974</v>
      </c>
      <c r="C325" t="s">
        <v>975</v>
      </c>
      <c r="D325" t="s">
        <v>17</v>
      </c>
      <c r="E325" t="s">
        <v>34</v>
      </c>
      <c r="F325" t="s">
        <v>130</v>
      </c>
      <c r="G325">
        <v>2</v>
      </c>
      <c r="H325">
        <v>4.25</v>
      </c>
      <c r="I325">
        <v>8.5</v>
      </c>
      <c r="J325">
        <v>5.56</v>
      </c>
      <c r="K325">
        <v>2.94</v>
      </c>
      <c r="L325" t="s">
        <v>36</v>
      </c>
      <c r="M325" t="s">
        <v>54</v>
      </c>
      <c r="N325" t="s">
        <v>862</v>
      </c>
    </row>
    <row r="326" spans="1:14">
      <c r="A326" t="s">
        <v>976</v>
      </c>
      <c r="B326" t="s">
        <v>673</v>
      </c>
      <c r="C326" t="s">
        <v>977</v>
      </c>
      <c r="D326" t="s">
        <v>17</v>
      </c>
      <c r="E326" t="s">
        <v>18</v>
      </c>
      <c r="F326" t="s">
        <v>19</v>
      </c>
      <c r="G326">
        <v>3</v>
      </c>
      <c r="H326">
        <v>4.86</v>
      </c>
      <c r="I326">
        <v>14.58</v>
      </c>
      <c r="J326">
        <v>6.68</v>
      </c>
      <c r="K326">
        <v>7.9</v>
      </c>
      <c r="L326" t="s">
        <v>36</v>
      </c>
      <c r="M326" t="s">
        <v>29</v>
      </c>
      <c r="N326" t="s">
        <v>491</v>
      </c>
    </row>
    <row r="327" spans="1:14">
      <c r="A327" t="s">
        <v>978</v>
      </c>
      <c r="B327" t="s">
        <v>218</v>
      </c>
      <c r="C327" t="s">
        <v>979</v>
      </c>
      <c r="D327" t="s">
        <v>26</v>
      </c>
      <c r="E327" t="s">
        <v>74</v>
      </c>
      <c r="F327" t="s">
        <v>83</v>
      </c>
      <c r="G327">
        <v>4</v>
      </c>
      <c r="H327">
        <v>4.08</v>
      </c>
      <c r="I327">
        <v>16.32</v>
      </c>
      <c r="J327">
        <v>8.3</v>
      </c>
      <c r="K327">
        <v>8.02</v>
      </c>
      <c r="L327" t="s">
        <v>53</v>
      </c>
      <c r="M327" t="s">
        <v>29</v>
      </c>
      <c r="N327" t="s">
        <v>84</v>
      </c>
    </row>
    <row r="328" spans="1:14">
      <c r="A328" t="s">
        <v>980</v>
      </c>
      <c r="B328" t="s">
        <v>981</v>
      </c>
      <c r="C328" t="s">
        <v>982</v>
      </c>
      <c r="D328" t="s">
        <v>52</v>
      </c>
      <c r="E328" t="s">
        <v>27</v>
      </c>
      <c r="F328" t="s">
        <v>28</v>
      </c>
      <c r="G328">
        <v>1</v>
      </c>
      <c r="H328">
        <v>5.5</v>
      </c>
      <c r="I328">
        <v>5.5</v>
      </c>
      <c r="J328">
        <v>2.52</v>
      </c>
      <c r="K328">
        <v>2.98</v>
      </c>
      <c r="L328" t="s">
        <v>53</v>
      </c>
      <c r="M328" t="s">
        <v>54</v>
      </c>
      <c r="N328" t="s">
        <v>191</v>
      </c>
    </row>
    <row r="329" spans="1:14">
      <c r="A329" t="s">
        <v>983</v>
      </c>
      <c r="B329" t="s">
        <v>255</v>
      </c>
      <c r="C329" t="s">
        <v>984</v>
      </c>
      <c r="D329" t="s">
        <v>17</v>
      </c>
      <c r="E329" t="s">
        <v>18</v>
      </c>
      <c r="F329" t="s">
        <v>41</v>
      </c>
      <c r="G329">
        <v>2</v>
      </c>
      <c r="H329">
        <v>5.74</v>
      </c>
      <c r="I329">
        <v>11.48</v>
      </c>
      <c r="J329">
        <v>6.91</v>
      </c>
      <c r="K329">
        <v>4.57</v>
      </c>
      <c r="L329" t="s">
        <v>20</v>
      </c>
      <c r="M329" t="s">
        <v>29</v>
      </c>
      <c r="N329" t="s">
        <v>147</v>
      </c>
    </row>
    <row r="330" spans="1:14">
      <c r="A330" t="s">
        <v>985</v>
      </c>
      <c r="B330" t="s">
        <v>336</v>
      </c>
      <c r="C330" t="s">
        <v>986</v>
      </c>
      <c r="D330" t="s">
        <v>69</v>
      </c>
      <c r="E330" t="s">
        <v>18</v>
      </c>
      <c r="F330" t="s">
        <v>41</v>
      </c>
      <c r="G330">
        <v>5</v>
      </c>
      <c r="H330">
        <v>3.95</v>
      </c>
      <c r="I330">
        <v>19.75</v>
      </c>
      <c r="J330">
        <v>11.51</v>
      </c>
      <c r="K330">
        <v>8.24</v>
      </c>
      <c r="L330" t="s">
        <v>36</v>
      </c>
      <c r="M330" t="s">
        <v>54</v>
      </c>
      <c r="N330" t="s">
        <v>373</v>
      </c>
    </row>
    <row r="331" spans="1:14">
      <c r="A331" t="s">
        <v>987</v>
      </c>
      <c r="B331" t="s">
        <v>667</v>
      </c>
      <c r="C331" t="s">
        <v>988</v>
      </c>
      <c r="D331" t="s">
        <v>46</v>
      </c>
      <c r="E331" t="s">
        <v>74</v>
      </c>
      <c r="F331" t="s">
        <v>92</v>
      </c>
      <c r="G331">
        <v>5</v>
      </c>
      <c r="H331">
        <v>7.19</v>
      </c>
      <c r="I331">
        <v>35.95</v>
      </c>
      <c r="J331">
        <v>24.15</v>
      </c>
      <c r="K331">
        <v>11.8</v>
      </c>
      <c r="L331" t="s">
        <v>36</v>
      </c>
      <c r="M331" t="s">
        <v>54</v>
      </c>
      <c r="N331" t="s">
        <v>88</v>
      </c>
    </row>
    <row r="332" spans="1:14">
      <c r="A332" t="s">
        <v>989</v>
      </c>
      <c r="B332" t="s">
        <v>314</v>
      </c>
      <c r="C332" t="s">
        <v>990</v>
      </c>
      <c r="D332" t="s">
        <v>52</v>
      </c>
      <c r="E332" t="s">
        <v>18</v>
      </c>
      <c r="F332" t="s">
        <v>146</v>
      </c>
      <c r="G332">
        <v>1</v>
      </c>
      <c r="H332">
        <v>7.95</v>
      </c>
      <c r="I332">
        <v>7.95</v>
      </c>
      <c r="J332">
        <v>3.67</v>
      </c>
      <c r="K332">
        <v>4.28</v>
      </c>
      <c r="L332" t="s">
        <v>53</v>
      </c>
      <c r="M332" t="s">
        <v>54</v>
      </c>
      <c r="N332" t="s">
        <v>65</v>
      </c>
    </row>
    <row r="333" spans="1:14">
      <c r="A333" t="s">
        <v>991</v>
      </c>
      <c r="B333" t="s">
        <v>992</v>
      </c>
      <c r="C333" t="s">
        <v>846</v>
      </c>
      <c r="D333" t="s">
        <v>46</v>
      </c>
      <c r="E333" t="s">
        <v>74</v>
      </c>
      <c r="F333" t="s">
        <v>92</v>
      </c>
      <c r="G333">
        <v>1</v>
      </c>
      <c r="H333">
        <v>6.99</v>
      </c>
      <c r="I333">
        <v>6.99</v>
      </c>
      <c r="J333">
        <v>4.41</v>
      </c>
      <c r="K333">
        <v>2.58</v>
      </c>
      <c r="L333" t="s">
        <v>60</v>
      </c>
      <c r="M333" t="s">
        <v>21</v>
      </c>
      <c r="N333" t="s">
        <v>451</v>
      </c>
    </row>
    <row r="334" spans="1:14">
      <c r="A334" t="s">
        <v>993</v>
      </c>
      <c r="B334" t="s">
        <v>994</v>
      </c>
      <c r="C334" t="s">
        <v>995</v>
      </c>
      <c r="D334" t="s">
        <v>52</v>
      </c>
      <c r="E334" t="s">
        <v>34</v>
      </c>
      <c r="F334" t="s">
        <v>35</v>
      </c>
      <c r="G334">
        <v>1</v>
      </c>
      <c r="H334">
        <v>2.86</v>
      </c>
      <c r="I334">
        <v>2.86</v>
      </c>
      <c r="J334">
        <v>1.64</v>
      </c>
      <c r="K334">
        <v>1.22</v>
      </c>
      <c r="L334" t="s">
        <v>53</v>
      </c>
      <c r="M334" t="s">
        <v>21</v>
      </c>
      <c r="N334" t="s">
        <v>448</v>
      </c>
    </row>
    <row r="335" spans="1:14">
      <c r="A335" t="s">
        <v>996</v>
      </c>
      <c r="B335" t="s">
        <v>997</v>
      </c>
      <c r="C335" t="s">
        <v>998</v>
      </c>
      <c r="D335" t="s">
        <v>26</v>
      </c>
      <c r="E335" t="s">
        <v>18</v>
      </c>
      <c r="F335" t="s">
        <v>19</v>
      </c>
      <c r="G335">
        <v>4</v>
      </c>
      <c r="H335">
        <v>5.81</v>
      </c>
      <c r="I335">
        <v>23.24</v>
      </c>
      <c r="J335">
        <v>12.48</v>
      </c>
      <c r="K335">
        <v>10.76</v>
      </c>
      <c r="L335" t="s">
        <v>20</v>
      </c>
      <c r="M335" t="s">
        <v>54</v>
      </c>
      <c r="N335" t="s">
        <v>491</v>
      </c>
    </row>
    <row r="336" spans="1:14">
      <c r="A336" t="s">
        <v>999</v>
      </c>
      <c r="B336" t="s">
        <v>532</v>
      </c>
      <c r="C336" t="s">
        <v>1000</v>
      </c>
      <c r="D336" t="s">
        <v>17</v>
      </c>
      <c r="E336" t="s">
        <v>27</v>
      </c>
      <c r="F336" t="s">
        <v>169</v>
      </c>
      <c r="G336">
        <v>5</v>
      </c>
      <c r="H336">
        <v>6.09</v>
      </c>
      <c r="I336">
        <v>30.45</v>
      </c>
      <c r="J336">
        <v>15.43</v>
      </c>
      <c r="K336">
        <v>15.02</v>
      </c>
      <c r="L336" t="s">
        <v>53</v>
      </c>
      <c r="M336" t="s">
        <v>29</v>
      </c>
      <c r="N336" t="s">
        <v>326</v>
      </c>
    </row>
    <row r="337" spans="1:14">
      <c r="A337" t="s">
        <v>1001</v>
      </c>
      <c r="B337" t="s">
        <v>601</v>
      </c>
      <c r="C337" t="s">
        <v>1002</v>
      </c>
      <c r="D337" t="s">
        <v>26</v>
      </c>
      <c r="E337" t="s">
        <v>74</v>
      </c>
      <c r="F337" t="s">
        <v>92</v>
      </c>
      <c r="G337">
        <v>3</v>
      </c>
      <c r="H337">
        <v>7.41</v>
      </c>
      <c r="I337">
        <v>22.23</v>
      </c>
      <c r="J337">
        <v>11.42</v>
      </c>
      <c r="K337">
        <v>10.81</v>
      </c>
      <c r="L337" t="s">
        <v>53</v>
      </c>
      <c r="M337" t="s">
        <v>21</v>
      </c>
      <c r="N337" t="s">
        <v>401</v>
      </c>
    </row>
    <row r="338" spans="1:14">
      <c r="A338" t="s">
        <v>1003</v>
      </c>
      <c r="B338" t="s">
        <v>520</v>
      </c>
      <c r="C338" t="s">
        <v>1004</v>
      </c>
      <c r="D338" t="s">
        <v>26</v>
      </c>
      <c r="E338" t="s">
        <v>27</v>
      </c>
      <c r="F338" t="s">
        <v>125</v>
      </c>
      <c r="G338">
        <v>2</v>
      </c>
      <c r="H338">
        <v>3.71</v>
      </c>
      <c r="I338">
        <v>7.42</v>
      </c>
      <c r="J338">
        <v>5.18</v>
      </c>
      <c r="K338">
        <v>2.24</v>
      </c>
      <c r="L338" t="s">
        <v>60</v>
      </c>
      <c r="M338" t="s">
        <v>29</v>
      </c>
      <c r="N338" t="s">
        <v>61</v>
      </c>
    </row>
    <row r="339" spans="1:14">
      <c r="A339" t="s">
        <v>1005</v>
      </c>
      <c r="B339" t="s">
        <v>350</v>
      </c>
      <c r="C339" t="s">
        <v>1006</v>
      </c>
      <c r="D339" t="s">
        <v>17</v>
      </c>
      <c r="E339" t="s">
        <v>18</v>
      </c>
      <c r="F339" t="s">
        <v>41</v>
      </c>
      <c r="G339">
        <v>5</v>
      </c>
      <c r="H339">
        <v>3.87</v>
      </c>
      <c r="I339">
        <v>19.35</v>
      </c>
      <c r="J339">
        <v>9.85</v>
      </c>
      <c r="K339">
        <v>9.5</v>
      </c>
      <c r="L339" t="s">
        <v>20</v>
      </c>
      <c r="M339" t="s">
        <v>29</v>
      </c>
      <c r="N339" t="s">
        <v>410</v>
      </c>
    </row>
    <row r="340" spans="1:14">
      <c r="A340" t="s">
        <v>1007</v>
      </c>
      <c r="B340" t="s">
        <v>569</v>
      </c>
      <c r="C340" t="s">
        <v>1008</v>
      </c>
      <c r="D340" t="s">
        <v>26</v>
      </c>
      <c r="E340" t="s">
        <v>74</v>
      </c>
      <c r="F340" t="s">
        <v>83</v>
      </c>
      <c r="G340">
        <v>4</v>
      </c>
      <c r="H340">
        <v>3.68</v>
      </c>
      <c r="I340">
        <v>14.72</v>
      </c>
      <c r="J340">
        <v>7.01</v>
      </c>
      <c r="K340">
        <v>7.71</v>
      </c>
      <c r="L340" t="s">
        <v>53</v>
      </c>
      <c r="M340" t="s">
        <v>21</v>
      </c>
      <c r="N340" t="s">
        <v>744</v>
      </c>
    </row>
    <row r="341" spans="1:14">
      <c r="A341" t="s">
        <v>1009</v>
      </c>
      <c r="B341" t="s">
        <v>392</v>
      </c>
      <c r="C341" t="s">
        <v>1010</v>
      </c>
      <c r="D341" t="s">
        <v>46</v>
      </c>
      <c r="E341" t="s">
        <v>34</v>
      </c>
      <c r="F341" t="s">
        <v>47</v>
      </c>
      <c r="G341">
        <v>2</v>
      </c>
      <c r="H341">
        <v>4.52</v>
      </c>
      <c r="I341">
        <v>9.04</v>
      </c>
      <c r="J341">
        <v>4.72</v>
      </c>
      <c r="K341">
        <v>4.32</v>
      </c>
      <c r="L341" t="s">
        <v>60</v>
      </c>
      <c r="M341" t="s">
        <v>21</v>
      </c>
      <c r="N341" t="s">
        <v>727</v>
      </c>
    </row>
    <row r="342" spans="1:14">
      <c r="A342" t="s">
        <v>1011</v>
      </c>
      <c r="B342" t="s">
        <v>1012</v>
      </c>
      <c r="C342" t="s">
        <v>618</v>
      </c>
      <c r="D342" t="s">
        <v>17</v>
      </c>
      <c r="E342" t="s">
        <v>74</v>
      </c>
      <c r="F342" t="s">
        <v>92</v>
      </c>
      <c r="G342">
        <v>4</v>
      </c>
      <c r="H342">
        <v>4.76</v>
      </c>
      <c r="I342">
        <v>19.04</v>
      </c>
      <c r="J342">
        <v>11.76</v>
      </c>
      <c r="K342">
        <v>7.28</v>
      </c>
      <c r="L342" t="s">
        <v>60</v>
      </c>
      <c r="M342" t="s">
        <v>21</v>
      </c>
      <c r="N342" t="s">
        <v>381</v>
      </c>
    </row>
    <row r="343" spans="1:14">
      <c r="A343" t="s">
        <v>1013</v>
      </c>
      <c r="B343" t="s">
        <v>354</v>
      </c>
      <c r="C343" t="s">
        <v>1014</v>
      </c>
      <c r="D343" t="s">
        <v>52</v>
      </c>
      <c r="E343" t="s">
        <v>27</v>
      </c>
      <c r="F343" t="s">
        <v>28</v>
      </c>
      <c r="G343">
        <v>4</v>
      </c>
      <c r="H343">
        <v>3.14</v>
      </c>
      <c r="I343">
        <v>12.56</v>
      </c>
      <c r="J343">
        <v>8.01</v>
      </c>
      <c r="K343">
        <v>4.55</v>
      </c>
      <c r="L343" t="s">
        <v>20</v>
      </c>
      <c r="M343" t="s">
        <v>29</v>
      </c>
      <c r="N343" t="s">
        <v>530</v>
      </c>
    </row>
    <row r="344" spans="1:14">
      <c r="A344" t="s">
        <v>1015</v>
      </c>
      <c r="B344" t="s">
        <v>1016</v>
      </c>
      <c r="C344" t="s">
        <v>1017</v>
      </c>
      <c r="D344" t="s">
        <v>46</v>
      </c>
      <c r="E344" t="s">
        <v>27</v>
      </c>
      <c r="F344" t="s">
        <v>70</v>
      </c>
      <c r="G344">
        <v>4</v>
      </c>
      <c r="H344">
        <v>6.09</v>
      </c>
      <c r="I344">
        <v>24.36</v>
      </c>
      <c r="J344">
        <v>12.63</v>
      </c>
      <c r="K344">
        <v>11.73</v>
      </c>
      <c r="L344" t="s">
        <v>36</v>
      </c>
      <c r="M344" t="s">
        <v>29</v>
      </c>
      <c r="N344" t="s">
        <v>470</v>
      </c>
    </row>
    <row r="345" spans="1:14">
      <c r="A345" t="s">
        <v>1018</v>
      </c>
      <c r="B345" t="s">
        <v>305</v>
      </c>
      <c r="C345" t="s">
        <v>1019</v>
      </c>
      <c r="D345" t="s">
        <v>69</v>
      </c>
      <c r="E345" t="s">
        <v>18</v>
      </c>
      <c r="F345" t="s">
        <v>146</v>
      </c>
      <c r="G345">
        <v>2</v>
      </c>
      <c r="H345">
        <v>5.17</v>
      </c>
      <c r="I345">
        <v>10.34</v>
      </c>
      <c r="J345">
        <v>6.21</v>
      </c>
      <c r="K345">
        <v>4.13</v>
      </c>
      <c r="L345" t="s">
        <v>53</v>
      </c>
      <c r="M345" t="s">
        <v>54</v>
      </c>
      <c r="N345" t="s">
        <v>147</v>
      </c>
    </row>
    <row r="346" spans="1:14">
      <c r="A346" t="s">
        <v>1020</v>
      </c>
      <c r="B346" t="s">
        <v>875</v>
      </c>
      <c r="C346" t="s">
        <v>1021</v>
      </c>
      <c r="D346" t="s">
        <v>17</v>
      </c>
      <c r="E346" t="s">
        <v>74</v>
      </c>
      <c r="F346" t="s">
        <v>83</v>
      </c>
      <c r="G346">
        <v>3</v>
      </c>
      <c r="H346">
        <v>5.37</v>
      </c>
      <c r="I346">
        <v>16.11</v>
      </c>
      <c r="J346">
        <v>10.22</v>
      </c>
      <c r="K346">
        <v>5.89</v>
      </c>
      <c r="L346" t="s">
        <v>20</v>
      </c>
      <c r="M346" t="s">
        <v>21</v>
      </c>
      <c r="N346" t="s">
        <v>261</v>
      </c>
    </row>
    <row r="347" spans="1:14">
      <c r="A347" t="s">
        <v>1022</v>
      </c>
      <c r="B347" t="s">
        <v>1023</v>
      </c>
      <c r="C347" t="s">
        <v>1024</v>
      </c>
      <c r="D347" t="s">
        <v>46</v>
      </c>
      <c r="E347" t="s">
        <v>18</v>
      </c>
      <c r="F347" t="s">
        <v>41</v>
      </c>
      <c r="G347">
        <v>4</v>
      </c>
      <c r="H347">
        <v>6.16</v>
      </c>
      <c r="I347">
        <v>24.64</v>
      </c>
      <c r="J347">
        <v>16.19</v>
      </c>
      <c r="K347">
        <v>8.45</v>
      </c>
      <c r="L347" t="s">
        <v>60</v>
      </c>
      <c r="M347" t="s">
        <v>54</v>
      </c>
      <c r="N347" t="s">
        <v>183</v>
      </c>
    </row>
    <row r="348" spans="1:14">
      <c r="A348" t="s">
        <v>1025</v>
      </c>
      <c r="B348" t="s">
        <v>1026</v>
      </c>
      <c r="C348" t="s">
        <v>1027</v>
      </c>
      <c r="D348" t="s">
        <v>69</v>
      </c>
      <c r="E348" t="s">
        <v>34</v>
      </c>
      <c r="F348" t="s">
        <v>47</v>
      </c>
      <c r="G348">
        <v>5</v>
      </c>
      <c r="H348">
        <v>3.82</v>
      </c>
      <c r="I348">
        <v>19.1</v>
      </c>
      <c r="J348">
        <v>8.72</v>
      </c>
      <c r="K348">
        <v>10.38</v>
      </c>
      <c r="L348" t="s">
        <v>53</v>
      </c>
      <c r="M348" t="s">
        <v>54</v>
      </c>
      <c r="N348" t="s">
        <v>518</v>
      </c>
    </row>
    <row r="349" spans="1:14">
      <c r="A349" t="s">
        <v>1028</v>
      </c>
      <c r="B349" t="s">
        <v>1029</v>
      </c>
      <c r="C349" t="s">
        <v>1030</v>
      </c>
      <c r="D349" t="s">
        <v>26</v>
      </c>
      <c r="E349" t="s">
        <v>34</v>
      </c>
      <c r="F349" t="s">
        <v>47</v>
      </c>
      <c r="G349">
        <v>1</v>
      </c>
      <c r="H349">
        <v>7.29</v>
      </c>
      <c r="I349">
        <v>7.29</v>
      </c>
      <c r="J349">
        <v>3.78</v>
      </c>
      <c r="K349">
        <v>3.51</v>
      </c>
      <c r="L349" t="s">
        <v>60</v>
      </c>
      <c r="M349" t="s">
        <v>29</v>
      </c>
      <c r="N349" t="s">
        <v>37</v>
      </c>
    </row>
    <row r="350" spans="1:14">
      <c r="A350" t="s">
        <v>1031</v>
      </c>
      <c r="B350" t="s">
        <v>1032</v>
      </c>
      <c r="C350" t="s">
        <v>1033</v>
      </c>
      <c r="D350" t="s">
        <v>69</v>
      </c>
      <c r="E350" t="s">
        <v>74</v>
      </c>
      <c r="F350" t="s">
        <v>83</v>
      </c>
      <c r="G350">
        <v>3</v>
      </c>
      <c r="H350">
        <v>5.42</v>
      </c>
      <c r="I350">
        <v>16.26</v>
      </c>
      <c r="J350">
        <v>10.17</v>
      </c>
      <c r="K350">
        <v>6.09</v>
      </c>
      <c r="L350" t="s">
        <v>36</v>
      </c>
      <c r="M350" t="s">
        <v>21</v>
      </c>
      <c r="N350" t="s">
        <v>401</v>
      </c>
    </row>
    <row r="351" spans="1:14">
      <c r="A351" t="s">
        <v>1034</v>
      </c>
      <c r="B351" t="s">
        <v>858</v>
      </c>
      <c r="C351" t="s">
        <v>1035</v>
      </c>
      <c r="D351" t="s">
        <v>26</v>
      </c>
      <c r="E351" t="s">
        <v>18</v>
      </c>
      <c r="F351" t="s">
        <v>41</v>
      </c>
      <c r="G351">
        <v>3</v>
      </c>
      <c r="H351">
        <v>5.77</v>
      </c>
      <c r="I351">
        <v>17.31</v>
      </c>
      <c r="J351">
        <v>8.55</v>
      </c>
      <c r="K351">
        <v>8.76</v>
      </c>
      <c r="L351" t="s">
        <v>36</v>
      </c>
      <c r="M351" t="s">
        <v>29</v>
      </c>
      <c r="N351" t="s">
        <v>97</v>
      </c>
    </row>
    <row r="352" spans="1:14">
      <c r="A352" t="s">
        <v>1036</v>
      </c>
      <c r="B352" t="s">
        <v>1037</v>
      </c>
      <c r="C352" t="s">
        <v>1038</v>
      </c>
      <c r="D352" t="s">
        <v>69</v>
      </c>
      <c r="E352" t="s">
        <v>27</v>
      </c>
      <c r="F352" t="s">
        <v>28</v>
      </c>
      <c r="G352">
        <v>3</v>
      </c>
      <c r="H352">
        <v>4.03</v>
      </c>
      <c r="I352">
        <v>12.09</v>
      </c>
      <c r="J352">
        <v>8.14</v>
      </c>
      <c r="K352">
        <v>3.95</v>
      </c>
      <c r="L352" t="s">
        <v>60</v>
      </c>
      <c r="M352" t="s">
        <v>21</v>
      </c>
      <c r="N352" t="s">
        <v>326</v>
      </c>
    </row>
    <row r="353" spans="1:14">
      <c r="A353" t="s">
        <v>1039</v>
      </c>
      <c r="B353" t="s">
        <v>461</v>
      </c>
      <c r="C353" t="s">
        <v>736</v>
      </c>
      <c r="D353" t="s">
        <v>17</v>
      </c>
      <c r="E353" t="s">
        <v>27</v>
      </c>
      <c r="F353" t="s">
        <v>169</v>
      </c>
      <c r="G353">
        <v>5</v>
      </c>
      <c r="H353">
        <v>4.29</v>
      </c>
      <c r="I353">
        <v>21.45</v>
      </c>
      <c r="J353">
        <v>12.69</v>
      </c>
      <c r="K353">
        <v>8.76</v>
      </c>
      <c r="L353" t="s">
        <v>36</v>
      </c>
      <c r="M353" t="s">
        <v>21</v>
      </c>
      <c r="N353" t="s">
        <v>599</v>
      </c>
    </row>
    <row r="354" spans="1:14">
      <c r="A354" t="s">
        <v>1040</v>
      </c>
      <c r="B354" t="s">
        <v>710</v>
      </c>
      <c r="C354" t="s">
        <v>1041</v>
      </c>
      <c r="D354" t="s">
        <v>69</v>
      </c>
      <c r="E354" t="s">
        <v>18</v>
      </c>
      <c r="F354" t="s">
        <v>146</v>
      </c>
      <c r="G354">
        <v>4</v>
      </c>
      <c r="H354">
        <v>6.03</v>
      </c>
      <c r="I354">
        <v>24.12</v>
      </c>
      <c r="J354">
        <v>13.56</v>
      </c>
      <c r="K354">
        <v>10.56</v>
      </c>
      <c r="L354" t="s">
        <v>53</v>
      </c>
      <c r="M354" t="s">
        <v>54</v>
      </c>
      <c r="N354" t="s">
        <v>155</v>
      </c>
    </row>
    <row r="355" spans="1:14">
      <c r="A355" t="s">
        <v>1042</v>
      </c>
      <c r="B355" t="s">
        <v>1043</v>
      </c>
      <c r="C355" t="s">
        <v>1044</v>
      </c>
      <c r="D355" t="s">
        <v>26</v>
      </c>
      <c r="E355" t="s">
        <v>18</v>
      </c>
      <c r="F355" t="s">
        <v>146</v>
      </c>
      <c r="G355">
        <v>3</v>
      </c>
      <c r="H355">
        <v>5.78</v>
      </c>
      <c r="I355">
        <v>17.34</v>
      </c>
      <c r="J355">
        <v>11.74</v>
      </c>
      <c r="K355">
        <v>5.6</v>
      </c>
      <c r="L355" t="s">
        <v>20</v>
      </c>
      <c r="M355" t="s">
        <v>21</v>
      </c>
      <c r="N355" t="s">
        <v>352</v>
      </c>
    </row>
    <row r="356" spans="1:14">
      <c r="A356" t="s">
        <v>1045</v>
      </c>
      <c r="B356" t="s">
        <v>622</v>
      </c>
      <c r="C356" t="s">
        <v>222</v>
      </c>
      <c r="D356" t="s">
        <v>17</v>
      </c>
      <c r="E356" t="s">
        <v>18</v>
      </c>
      <c r="F356" t="s">
        <v>19</v>
      </c>
      <c r="G356">
        <v>1</v>
      </c>
      <c r="H356">
        <v>6.76</v>
      </c>
      <c r="I356">
        <v>6.76</v>
      </c>
      <c r="J356">
        <v>3.12</v>
      </c>
      <c r="K356">
        <v>3.64</v>
      </c>
      <c r="L356" t="s">
        <v>60</v>
      </c>
      <c r="M356" t="s">
        <v>29</v>
      </c>
      <c r="N356" t="s">
        <v>234</v>
      </c>
    </row>
    <row r="357" spans="1:14">
      <c r="A357" t="s">
        <v>1046</v>
      </c>
      <c r="B357" t="s">
        <v>1047</v>
      </c>
      <c r="C357" t="s">
        <v>1048</v>
      </c>
      <c r="D357" t="s">
        <v>17</v>
      </c>
      <c r="E357" t="s">
        <v>18</v>
      </c>
      <c r="F357" t="s">
        <v>146</v>
      </c>
      <c r="G357">
        <v>3</v>
      </c>
      <c r="H357">
        <v>7.17</v>
      </c>
      <c r="I357">
        <v>21.51</v>
      </c>
      <c r="J357">
        <v>13</v>
      </c>
      <c r="K357">
        <v>8.51</v>
      </c>
      <c r="L357" t="s">
        <v>36</v>
      </c>
      <c r="M357" t="s">
        <v>29</v>
      </c>
      <c r="N357" t="s">
        <v>42</v>
      </c>
    </row>
    <row r="358" spans="1:14">
      <c r="A358" t="s">
        <v>1049</v>
      </c>
      <c r="B358" t="s">
        <v>1050</v>
      </c>
      <c r="C358" t="s">
        <v>1051</v>
      </c>
      <c r="D358" t="s">
        <v>52</v>
      </c>
      <c r="E358" t="s">
        <v>74</v>
      </c>
      <c r="F358" t="s">
        <v>83</v>
      </c>
      <c r="G358">
        <v>4</v>
      </c>
      <c r="H358">
        <v>6.91</v>
      </c>
      <c r="I358">
        <v>27.64</v>
      </c>
      <c r="J358">
        <v>19.24</v>
      </c>
      <c r="K358">
        <v>8.4</v>
      </c>
      <c r="L358" t="s">
        <v>20</v>
      </c>
      <c r="M358" t="s">
        <v>21</v>
      </c>
      <c r="N358" t="s">
        <v>518</v>
      </c>
    </row>
    <row r="359" spans="1:14">
      <c r="A359" t="s">
        <v>1052</v>
      </c>
      <c r="B359" t="s">
        <v>360</v>
      </c>
      <c r="C359" t="s">
        <v>1053</v>
      </c>
      <c r="D359" t="s">
        <v>46</v>
      </c>
      <c r="E359" t="s">
        <v>74</v>
      </c>
      <c r="F359" t="s">
        <v>75</v>
      </c>
      <c r="G359">
        <v>4</v>
      </c>
      <c r="H359">
        <v>4.66</v>
      </c>
      <c r="I359">
        <v>18.64</v>
      </c>
      <c r="J359">
        <v>12.27</v>
      </c>
      <c r="K359">
        <v>6.37</v>
      </c>
      <c r="L359" t="s">
        <v>20</v>
      </c>
      <c r="M359" t="s">
        <v>29</v>
      </c>
      <c r="N359" t="s">
        <v>410</v>
      </c>
    </row>
    <row r="360" spans="1:14">
      <c r="A360" t="s">
        <v>1054</v>
      </c>
      <c r="B360" t="s">
        <v>778</v>
      </c>
      <c r="C360" t="s">
        <v>290</v>
      </c>
      <c r="D360" t="s">
        <v>69</v>
      </c>
      <c r="E360" t="s">
        <v>27</v>
      </c>
      <c r="F360" t="s">
        <v>70</v>
      </c>
      <c r="G360">
        <v>5</v>
      </c>
      <c r="H360">
        <v>5.36</v>
      </c>
      <c r="I360">
        <v>26.8</v>
      </c>
      <c r="J360">
        <v>13.16</v>
      </c>
      <c r="K360">
        <v>13.64</v>
      </c>
      <c r="L360" t="s">
        <v>20</v>
      </c>
      <c r="M360" t="s">
        <v>29</v>
      </c>
      <c r="N360" t="s">
        <v>410</v>
      </c>
    </row>
    <row r="361" spans="1:14">
      <c r="A361" t="s">
        <v>1055</v>
      </c>
      <c r="B361" t="s">
        <v>289</v>
      </c>
      <c r="C361" t="s">
        <v>1056</v>
      </c>
      <c r="D361" t="s">
        <v>26</v>
      </c>
      <c r="E361" t="s">
        <v>18</v>
      </c>
      <c r="F361" t="s">
        <v>19</v>
      </c>
      <c r="G361">
        <v>5</v>
      </c>
      <c r="H361">
        <v>4.33</v>
      </c>
      <c r="I361">
        <v>21.65</v>
      </c>
      <c r="J361">
        <v>12.43</v>
      </c>
      <c r="K361">
        <v>9.22</v>
      </c>
      <c r="L361" t="s">
        <v>36</v>
      </c>
      <c r="M361" t="s">
        <v>54</v>
      </c>
      <c r="N361" t="s">
        <v>42</v>
      </c>
    </row>
    <row r="362" spans="1:14">
      <c r="A362" t="s">
        <v>1057</v>
      </c>
      <c r="B362" t="s">
        <v>1058</v>
      </c>
      <c r="C362" t="s">
        <v>1059</v>
      </c>
      <c r="D362" t="s">
        <v>69</v>
      </c>
      <c r="E362" t="s">
        <v>18</v>
      </c>
      <c r="F362" t="s">
        <v>146</v>
      </c>
      <c r="G362">
        <v>1</v>
      </c>
      <c r="H362">
        <v>7.35</v>
      </c>
      <c r="I362">
        <v>7.35</v>
      </c>
      <c r="J362">
        <v>3.94</v>
      </c>
      <c r="K362">
        <v>3.41</v>
      </c>
      <c r="L362" t="s">
        <v>20</v>
      </c>
      <c r="M362" t="s">
        <v>54</v>
      </c>
      <c r="N362" t="s">
        <v>507</v>
      </c>
    </row>
    <row r="363" spans="1:14">
      <c r="A363" t="s">
        <v>1060</v>
      </c>
      <c r="B363" t="s">
        <v>244</v>
      </c>
      <c r="C363" t="s">
        <v>1061</v>
      </c>
      <c r="D363" t="s">
        <v>26</v>
      </c>
      <c r="E363" t="s">
        <v>34</v>
      </c>
      <c r="F363" t="s">
        <v>35</v>
      </c>
      <c r="G363">
        <v>4</v>
      </c>
      <c r="H363">
        <v>6.94</v>
      </c>
      <c r="I363">
        <v>27.76</v>
      </c>
      <c r="J363">
        <v>14.99</v>
      </c>
      <c r="K363">
        <v>12.77</v>
      </c>
      <c r="L363" t="s">
        <v>60</v>
      </c>
      <c r="M363" t="s">
        <v>29</v>
      </c>
      <c r="N363" t="s">
        <v>126</v>
      </c>
    </row>
    <row r="364" spans="1:14">
      <c r="A364" t="s">
        <v>1062</v>
      </c>
      <c r="B364" t="s">
        <v>1063</v>
      </c>
      <c r="C364" t="s">
        <v>1064</v>
      </c>
      <c r="D364" t="s">
        <v>26</v>
      </c>
      <c r="E364" t="s">
        <v>74</v>
      </c>
      <c r="F364" t="s">
        <v>83</v>
      </c>
      <c r="G364">
        <v>4</v>
      </c>
      <c r="H364">
        <v>5.01</v>
      </c>
      <c r="I364">
        <v>20.04</v>
      </c>
      <c r="J364">
        <v>13.85</v>
      </c>
      <c r="K364">
        <v>6.19</v>
      </c>
      <c r="L364" t="s">
        <v>20</v>
      </c>
      <c r="M364" t="s">
        <v>54</v>
      </c>
      <c r="N364" t="s">
        <v>234</v>
      </c>
    </row>
    <row r="365" spans="1:14">
      <c r="A365" t="s">
        <v>1065</v>
      </c>
      <c r="B365" t="s">
        <v>1066</v>
      </c>
      <c r="C365" t="s">
        <v>1067</v>
      </c>
      <c r="D365" t="s">
        <v>69</v>
      </c>
      <c r="E365" t="s">
        <v>18</v>
      </c>
      <c r="F365" t="s">
        <v>19</v>
      </c>
      <c r="G365">
        <v>1</v>
      </c>
      <c r="H365">
        <v>6.99</v>
      </c>
      <c r="I365">
        <v>6.99</v>
      </c>
      <c r="J365">
        <v>4.2</v>
      </c>
      <c r="K365">
        <v>2.79</v>
      </c>
      <c r="L365" t="s">
        <v>53</v>
      </c>
      <c r="M365" t="s">
        <v>54</v>
      </c>
      <c r="N365" t="s">
        <v>862</v>
      </c>
    </row>
    <row r="366" spans="1:14">
      <c r="A366" t="s">
        <v>1068</v>
      </c>
      <c r="B366" t="s">
        <v>667</v>
      </c>
      <c r="C366" t="s">
        <v>1069</v>
      </c>
      <c r="D366" t="s">
        <v>52</v>
      </c>
      <c r="E366" t="s">
        <v>74</v>
      </c>
      <c r="F366" t="s">
        <v>92</v>
      </c>
      <c r="G366">
        <v>2</v>
      </c>
      <c r="H366">
        <v>4.92</v>
      </c>
      <c r="I366">
        <v>9.84</v>
      </c>
      <c r="J366">
        <v>5.02</v>
      </c>
      <c r="K366">
        <v>4.82</v>
      </c>
      <c r="L366" t="s">
        <v>36</v>
      </c>
      <c r="M366" t="s">
        <v>54</v>
      </c>
      <c r="N366" t="s">
        <v>101</v>
      </c>
    </row>
    <row r="367" spans="1:14">
      <c r="A367" t="s">
        <v>1070</v>
      </c>
      <c r="B367" t="s">
        <v>1071</v>
      </c>
      <c r="C367" t="s">
        <v>358</v>
      </c>
      <c r="D367" t="s">
        <v>69</v>
      </c>
      <c r="E367" t="s">
        <v>18</v>
      </c>
      <c r="F367" t="s">
        <v>146</v>
      </c>
      <c r="G367">
        <v>2</v>
      </c>
      <c r="H367">
        <v>2.59</v>
      </c>
      <c r="I367">
        <v>5.18</v>
      </c>
      <c r="J367">
        <v>3.06</v>
      </c>
      <c r="K367">
        <v>2.12</v>
      </c>
      <c r="L367" t="s">
        <v>36</v>
      </c>
      <c r="M367" t="s">
        <v>21</v>
      </c>
      <c r="N367" t="s">
        <v>97</v>
      </c>
    </row>
    <row r="368" spans="1:14">
      <c r="A368" t="s">
        <v>1072</v>
      </c>
      <c r="B368" t="s">
        <v>433</v>
      </c>
      <c r="C368" t="s">
        <v>1073</v>
      </c>
      <c r="D368" t="s">
        <v>26</v>
      </c>
      <c r="E368" t="s">
        <v>27</v>
      </c>
      <c r="F368" t="s">
        <v>125</v>
      </c>
      <c r="G368">
        <v>2</v>
      </c>
      <c r="H368">
        <v>4.15</v>
      </c>
      <c r="I368">
        <v>8.3</v>
      </c>
      <c r="J368">
        <v>4.69</v>
      </c>
      <c r="K368">
        <v>3.61</v>
      </c>
      <c r="L368" t="s">
        <v>36</v>
      </c>
      <c r="M368" t="s">
        <v>54</v>
      </c>
      <c r="N368" t="s">
        <v>483</v>
      </c>
    </row>
    <row r="369" spans="1:14">
      <c r="A369" t="s">
        <v>1074</v>
      </c>
      <c r="B369" t="s">
        <v>1075</v>
      </c>
      <c r="C369" t="s">
        <v>1076</v>
      </c>
      <c r="D369" t="s">
        <v>52</v>
      </c>
      <c r="E369" t="s">
        <v>27</v>
      </c>
      <c r="F369" t="s">
        <v>70</v>
      </c>
      <c r="G369">
        <v>4</v>
      </c>
      <c r="H369">
        <v>5.25</v>
      </c>
      <c r="I369">
        <v>21</v>
      </c>
      <c r="J369">
        <v>11.46</v>
      </c>
      <c r="K369">
        <v>9.54</v>
      </c>
      <c r="L369" t="s">
        <v>20</v>
      </c>
      <c r="M369" t="s">
        <v>21</v>
      </c>
      <c r="N369" t="s">
        <v>97</v>
      </c>
    </row>
    <row r="370" spans="1:14">
      <c r="A370" t="s">
        <v>1077</v>
      </c>
      <c r="B370" t="s">
        <v>572</v>
      </c>
      <c r="C370" t="s">
        <v>1078</v>
      </c>
      <c r="D370" t="s">
        <v>69</v>
      </c>
      <c r="E370" t="s">
        <v>27</v>
      </c>
      <c r="F370" t="s">
        <v>125</v>
      </c>
      <c r="G370">
        <v>2</v>
      </c>
      <c r="H370">
        <v>7.45</v>
      </c>
      <c r="I370">
        <v>14.9</v>
      </c>
      <c r="J370">
        <v>8.66</v>
      </c>
      <c r="K370">
        <v>6.24</v>
      </c>
      <c r="L370" t="s">
        <v>36</v>
      </c>
      <c r="M370" t="s">
        <v>29</v>
      </c>
      <c r="N370" t="s">
        <v>448</v>
      </c>
    </row>
    <row r="371" spans="1:14">
      <c r="A371" t="s">
        <v>1079</v>
      </c>
      <c r="B371" t="s">
        <v>771</v>
      </c>
      <c r="C371" t="s">
        <v>1080</v>
      </c>
      <c r="D371" t="s">
        <v>69</v>
      </c>
      <c r="E371" t="s">
        <v>27</v>
      </c>
      <c r="F371" t="s">
        <v>28</v>
      </c>
      <c r="G371">
        <v>2</v>
      </c>
      <c r="H371">
        <v>6.14</v>
      </c>
      <c r="I371">
        <v>12.28</v>
      </c>
      <c r="J371">
        <v>7.52</v>
      </c>
      <c r="K371">
        <v>4.76</v>
      </c>
      <c r="L371" t="s">
        <v>53</v>
      </c>
      <c r="M371" t="s">
        <v>29</v>
      </c>
      <c r="N371" t="s">
        <v>174</v>
      </c>
    </row>
    <row r="372" spans="1:14">
      <c r="A372" t="s">
        <v>1081</v>
      </c>
      <c r="B372" t="s">
        <v>133</v>
      </c>
      <c r="C372" t="s">
        <v>1082</v>
      </c>
      <c r="D372" t="s">
        <v>46</v>
      </c>
      <c r="E372" t="s">
        <v>27</v>
      </c>
      <c r="F372" t="s">
        <v>169</v>
      </c>
      <c r="G372">
        <v>4</v>
      </c>
      <c r="H372">
        <v>5.8</v>
      </c>
      <c r="I372">
        <v>23.2</v>
      </c>
      <c r="J372">
        <v>13.58</v>
      </c>
      <c r="K372">
        <v>9.62</v>
      </c>
      <c r="L372" t="s">
        <v>36</v>
      </c>
      <c r="M372" t="s">
        <v>29</v>
      </c>
      <c r="N372" t="s">
        <v>497</v>
      </c>
    </row>
    <row r="373" spans="1:14">
      <c r="A373" t="s">
        <v>1083</v>
      </c>
      <c r="B373" t="s">
        <v>1084</v>
      </c>
      <c r="C373" t="s">
        <v>1085</v>
      </c>
      <c r="D373" t="s">
        <v>52</v>
      </c>
      <c r="E373" t="s">
        <v>74</v>
      </c>
      <c r="F373" t="s">
        <v>83</v>
      </c>
      <c r="G373">
        <v>1</v>
      </c>
      <c r="H373">
        <v>7.17</v>
      </c>
      <c r="I373">
        <v>7.17</v>
      </c>
      <c r="J373">
        <v>5.01</v>
      </c>
      <c r="K373">
        <v>2.16</v>
      </c>
      <c r="L373" t="s">
        <v>20</v>
      </c>
      <c r="M373" t="s">
        <v>29</v>
      </c>
      <c r="N373" t="s">
        <v>105</v>
      </c>
    </row>
    <row r="374" spans="1:14">
      <c r="A374" t="s">
        <v>1086</v>
      </c>
      <c r="B374" t="s">
        <v>885</v>
      </c>
      <c r="C374" t="s">
        <v>840</v>
      </c>
      <c r="D374" t="s">
        <v>69</v>
      </c>
      <c r="E374" t="s">
        <v>34</v>
      </c>
      <c r="F374" t="s">
        <v>130</v>
      </c>
      <c r="G374">
        <v>1</v>
      </c>
      <c r="H374">
        <v>7.64</v>
      </c>
      <c r="I374">
        <v>7.64</v>
      </c>
      <c r="J374">
        <v>3.7</v>
      </c>
      <c r="K374">
        <v>3.94</v>
      </c>
      <c r="L374" t="s">
        <v>60</v>
      </c>
      <c r="M374" t="s">
        <v>21</v>
      </c>
      <c r="N374" t="s">
        <v>174</v>
      </c>
    </row>
    <row r="375" spans="1:14">
      <c r="A375" t="s">
        <v>1087</v>
      </c>
      <c r="B375" t="s">
        <v>789</v>
      </c>
      <c r="C375" t="s">
        <v>233</v>
      </c>
      <c r="D375" t="s">
        <v>46</v>
      </c>
      <c r="E375" t="s">
        <v>34</v>
      </c>
      <c r="F375" t="s">
        <v>130</v>
      </c>
      <c r="G375">
        <v>2</v>
      </c>
      <c r="H375">
        <v>6.67</v>
      </c>
      <c r="I375">
        <v>13.34</v>
      </c>
      <c r="J375">
        <v>8.88</v>
      </c>
      <c r="K375">
        <v>4.46</v>
      </c>
      <c r="L375" t="s">
        <v>60</v>
      </c>
      <c r="M375" t="s">
        <v>21</v>
      </c>
      <c r="N375" t="s">
        <v>862</v>
      </c>
    </row>
    <row r="376" spans="1:14">
      <c r="A376" t="s">
        <v>1088</v>
      </c>
      <c r="B376" t="s">
        <v>648</v>
      </c>
      <c r="C376" t="s">
        <v>1089</v>
      </c>
      <c r="D376" t="s">
        <v>26</v>
      </c>
      <c r="E376" t="s">
        <v>27</v>
      </c>
      <c r="F376" t="s">
        <v>28</v>
      </c>
      <c r="G376">
        <v>4</v>
      </c>
      <c r="H376">
        <v>5.9</v>
      </c>
      <c r="I376">
        <v>23.6</v>
      </c>
      <c r="J376">
        <v>15.02</v>
      </c>
      <c r="K376">
        <v>8.58</v>
      </c>
      <c r="L376" t="s">
        <v>36</v>
      </c>
      <c r="M376" t="s">
        <v>54</v>
      </c>
      <c r="N376" t="s">
        <v>278</v>
      </c>
    </row>
    <row r="377" spans="1:14">
      <c r="A377" t="s">
        <v>1090</v>
      </c>
      <c r="B377" t="s">
        <v>1091</v>
      </c>
      <c r="C377" t="s">
        <v>1092</v>
      </c>
      <c r="D377" t="s">
        <v>52</v>
      </c>
      <c r="E377" t="s">
        <v>74</v>
      </c>
      <c r="F377" t="s">
        <v>75</v>
      </c>
      <c r="G377">
        <v>5</v>
      </c>
      <c r="H377">
        <v>2.76</v>
      </c>
      <c r="I377">
        <v>13.8</v>
      </c>
      <c r="J377">
        <v>9.11</v>
      </c>
      <c r="K377">
        <v>4.69</v>
      </c>
      <c r="L377" t="s">
        <v>53</v>
      </c>
      <c r="M377" t="s">
        <v>29</v>
      </c>
      <c r="N377" t="s">
        <v>101</v>
      </c>
    </row>
    <row r="378" spans="1:14">
      <c r="A378" t="s">
        <v>1093</v>
      </c>
      <c r="B378" t="s">
        <v>357</v>
      </c>
      <c r="C378" t="s">
        <v>161</v>
      </c>
      <c r="D378" t="s">
        <v>52</v>
      </c>
      <c r="E378" t="s">
        <v>27</v>
      </c>
      <c r="F378" t="s">
        <v>70</v>
      </c>
      <c r="G378">
        <v>2</v>
      </c>
      <c r="H378">
        <v>6.02</v>
      </c>
      <c r="I378">
        <v>12.04</v>
      </c>
      <c r="J378">
        <v>8.42</v>
      </c>
      <c r="K378">
        <v>3.62</v>
      </c>
      <c r="L378" t="s">
        <v>36</v>
      </c>
      <c r="M378" t="s">
        <v>29</v>
      </c>
      <c r="N378" t="s">
        <v>580</v>
      </c>
    </row>
    <row r="379" spans="1:14">
      <c r="A379" t="s">
        <v>1094</v>
      </c>
      <c r="B379" t="s">
        <v>95</v>
      </c>
      <c r="C379" t="s">
        <v>1095</v>
      </c>
      <c r="D379" t="s">
        <v>52</v>
      </c>
      <c r="E379" t="s">
        <v>18</v>
      </c>
      <c r="F379" t="s">
        <v>19</v>
      </c>
      <c r="G379">
        <v>5</v>
      </c>
      <c r="H379">
        <v>4.9</v>
      </c>
      <c r="I379">
        <v>24.5</v>
      </c>
      <c r="J379">
        <v>12.54</v>
      </c>
      <c r="K379">
        <v>11.96</v>
      </c>
      <c r="L379" t="s">
        <v>60</v>
      </c>
      <c r="M379" t="s">
        <v>21</v>
      </c>
      <c r="N379" t="s">
        <v>65</v>
      </c>
    </row>
    <row r="380" spans="1:14">
      <c r="A380" t="s">
        <v>1096</v>
      </c>
      <c r="B380" t="s">
        <v>689</v>
      </c>
      <c r="C380" t="s">
        <v>1097</v>
      </c>
      <c r="D380" t="s">
        <v>69</v>
      </c>
      <c r="E380" t="s">
        <v>27</v>
      </c>
      <c r="F380" t="s">
        <v>70</v>
      </c>
      <c r="G380">
        <v>3</v>
      </c>
      <c r="H380">
        <v>5.32</v>
      </c>
      <c r="I380">
        <v>15.96</v>
      </c>
      <c r="J380">
        <v>10.46</v>
      </c>
      <c r="K380">
        <v>5.5</v>
      </c>
      <c r="L380" t="s">
        <v>60</v>
      </c>
      <c r="M380" t="s">
        <v>54</v>
      </c>
      <c r="N380" t="s">
        <v>79</v>
      </c>
    </row>
    <row r="381" spans="1:14">
      <c r="A381" t="s">
        <v>1098</v>
      </c>
      <c r="B381" t="s">
        <v>860</v>
      </c>
      <c r="C381" t="s">
        <v>1099</v>
      </c>
      <c r="D381" t="s">
        <v>17</v>
      </c>
      <c r="E381" t="s">
        <v>74</v>
      </c>
      <c r="F381" t="s">
        <v>92</v>
      </c>
      <c r="G381">
        <v>1</v>
      </c>
      <c r="H381">
        <v>5.41</v>
      </c>
      <c r="I381">
        <v>5.41</v>
      </c>
      <c r="J381">
        <v>3.16</v>
      </c>
      <c r="K381">
        <v>2.25</v>
      </c>
      <c r="L381" t="s">
        <v>36</v>
      </c>
      <c r="M381" t="s">
        <v>21</v>
      </c>
      <c r="N381" t="s">
        <v>303</v>
      </c>
    </row>
    <row r="382" spans="1:14">
      <c r="A382" t="s">
        <v>1100</v>
      </c>
      <c r="B382" t="s">
        <v>870</v>
      </c>
      <c r="C382" t="s">
        <v>736</v>
      </c>
      <c r="D382" t="s">
        <v>69</v>
      </c>
      <c r="E382" t="s">
        <v>27</v>
      </c>
      <c r="F382" t="s">
        <v>125</v>
      </c>
      <c r="G382">
        <v>5</v>
      </c>
      <c r="H382">
        <v>6.23</v>
      </c>
      <c r="I382">
        <v>31.15</v>
      </c>
      <c r="J382">
        <v>19.45</v>
      </c>
      <c r="K382">
        <v>11.7</v>
      </c>
      <c r="L382" t="s">
        <v>36</v>
      </c>
      <c r="M382" t="s">
        <v>54</v>
      </c>
      <c r="N382" t="s">
        <v>22</v>
      </c>
    </row>
    <row r="383" spans="1:14">
      <c r="A383" t="s">
        <v>1101</v>
      </c>
      <c r="B383" t="s">
        <v>1102</v>
      </c>
      <c r="C383" t="s">
        <v>1103</v>
      </c>
      <c r="D383" t="s">
        <v>46</v>
      </c>
      <c r="E383" t="s">
        <v>34</v>
      </c>
      <c r="F383" t="s">
        <v>35</v>
      </c>
      <c r="G383">
        <v>1</v>
      </c>
      <c r="H383">
        <v>4.12</v>
      </c>
      <c r="I383">
        <v>4.12</v>
      </c>
      <c r="J383">
        <v>2.36</v>
      </c>
      <c r="K383">
        <v>1.76</v>
      </c>
      <c r="L383" t="s">
        <v>53</v>
      </c>
      <c r="M383" t="s">
        <v>29</v>
      </c>
      <c r="N383" t="s">
        <v>410</v>
      </c>
    </row>
    <row r="384" spans="1:14">
      <c r="A384" t="s">
        <v>1104</v>
      </c>
      <c r="B384" t="s">
        <v>1105</v>
      </c>
      <c r="C384" t="s">
        <v>679</v>
      </c>
      <c r="D384" t="s">
        <v>69</v>
      </c>
      <c r="E384" t="s">
        <v>74</v>
      </c>
      <c r="F384" t="s">
        <v>92</v>
      </c>
      <c r="G384">
        <v>4</v>
      </c>
      <c r="H384">
        <v>6.67</v>
      </c>
      <c r="I384">
        <v>26.68</v>
      </c>
      <c r="J384">
        <v>15.97</v>
      </c>
      <c r="K384">
        <v>10.71</v>
      </c>
      <c r="L384" t="s">
        <v>20</v>
      </c>
      <c r="M384" t="s">
        <v>54</v>
      </c>
      <c r="N384" t="s">
        <v>312</v>
      </c>
    </row>
    <row r="385" spans="1:14">
      <c r="A385" t="s">
        <v>1106</v>
      </c>
      <c r="B385" t="s">
        <v>1029</v>
      </c>
      <c r="C385" t="s">
        <v>1107</v>
      </c>
      <c r="D385" t="s">
        <v>26</v>
      </c>
      <c r="E385" t="s">
        <v>74</v>
      </c>
      <c r="F385" t="s">
        <v>92</v>
      </c>
      <c r="G385">
        <v>4</v>
      </c>
      <c r="H385">
        <v>3.32</v>
      </c>
      <c r="I385">
        <v>13.28</v>
      </c>
      <c r="J385">
        <v>7.52</v>
      </c>
      <c r="K385">
        <v>5.76</v>
      </c>
      <c r="L385" t="s">
        <v>36</v>
      </c>
      <c r="M385" t="s">
        <v>54</v>
      </c>
      <c r="N385" t="s">
        <v>155</v>
      </c>
    </row>
    <row r="386" spans="1:14">
      <c r="A386" t="s">
        <v>1108</v>
      </c>
      <c r="B386" t="s">
        <v>755</v>
      </c>
      <c r="C386" t="s">
        <v>1109</v>
      </c>
      <c r="D386" t="s">
        <v>17</v>
      </c>
      <c r="E386" t="s">
        <v>18</v>
      </c>
      <c r="F386" t="s">
        <v>146</v>
      </c>
      <c r="G386">
        <v>2</v>
      </c>
      <c r="H386">
        <v>4.24</v>
      </c>
      <c r="I386">
        <v>8.48</v>
      </c>
      <c r="J386">
        <v>4.82</v>
      </c>
      <c r="K386">
        <v>3.66</v>
      </c>
      <c r="L386" t="s">
        <v>20</v>
      </c>
      <c r="M386" t="s">
        <v>21</v>
      </c>
      <c r="N386" t="s">
        <v>191</v>
      </c>
    </row>
    <row r="387" spans="1:14">
      <c r="A387" t="s">
        <v>1110</v>
      </c>
      <c r="B387" t="s">
        <v>153</v>
      </c>
      <c r="C387" t="s">
        <v>1111</v>
      </c>
      <c r="D387" t="s">
        <v>69</v>
      </c>
      <c r="E387" t="s">
        <v>34</v>
      </c>
      <c r="F387" t="s">
        <v>130</v>
      </c>
      <c r="G387">
        <v>4</v>
      </c>
      <c r="H387">
        <v>4.87</v>
      </c>
      <c r="I387">
        <v>19.48</v>
      </c>
      <c r="J387">
        <v>12.12</v>
      </c>
      <c r="K387">
        <v>7.36</v>
      </c>
      <c r="L387" t="s">
        <v>36</v>
      </c>
      <c r="M387" t="s">
        <v>29</v>
      </c>
      <c r="N387" t="s">
        <v>312</v>
      </c>
    </row>
    <row r="388" spans="1:14">
      <c r="A388" t="s">
        <v>1112</v>
      </c>
      <c r="B388" t="s">
        <v>1113</v>
      </c>
      <c r="C388" t="s">
        <v>1114</v>
      </c>
      <c r="D388" t="s">
        <v>69</v>
      </c>
      <c r="E388" t="s">
        <v>34</v>
      </c>
      <c r="F388" t="s">
        <v>47</v>
      </c>
      <c r="G388">
        <v>4</v>
      </c>
      <c r="H388">
        <v>2.62</v>
      </c>
      <c r="I388">
        <v>10.48</v>
      </c>
      <c r="J388">
        <v>5.06</v>
      </c>
      <c r="K388">
        <v>5.42</v>
      </c>
      <c r="L388" t="s">
        <v>60</v>
      </c>
      <c r="M388" t="s">
        <v>29</v>
      </c>
      <c r="N388" t="s">
        <v>230</v>
      </c>
    </row>
    <row r="389" spans="1:14">
      <c r="A389" t="s">
        <v>1115</v>
      </c>
      <c r="B389" t="s">
        <v>489</v>
      </c>
      <c r="C389" t="s">
        <v>881</v>
      </c>
      <c r="D389" t="s">
        <v>52</v>
      </c>
      <c r="E389" t="s">
        <v>18</v>
      </c>
      <c r="F389" t="s">
        <v>41</v>
      </c>
      <c r="G389">
        <v>3</v>
      </c>
      <c r="H389">
        <v>7.66</v>
      </c>
      <c r="I389">
        <v>22.98</v>
      </c>
      <c r="J389">
        <v>12.86</v>
      </c>
      <c r="K389">
        <v>10.12</v>
      </c>
      <c r="L389" t="s">
        <v>36</v>
      </c>
      <c r="M389" t="s">
        <v>21</v>
      </c>
      <c r="N389" t="s">
        <v>147</v>
      </c>
    </row>
    <row r="390" spans="1:14">
      <c r="A390" t="s">
        <v>1116</v>
      </c>
      <c r="B390" t="s">
        <v>328</v>
      </c>
      <c r="C390" t="s">
        <v>1117</v>
      </c>
      <c r="D390" t="s">
        <v>69</v>
      </c>
      <c r="E390" t="s">
        <v>18</v>
      </c>
      <c r="F390" t="s">
        <v>146</v>
      </c>
      <c r="G390">
        <v>2</v>
      </c>
      <c r="H390">
        <v>5.17</v>
      </c>
      <c r="I390">
        <v>10.34</v>
      </c>
      <c r="J390">
        <v>5.26</v>
      </c>
      <c r="K390">
        <v>5.08</v>
      </c>
      <c r="L390" t="s">
        <v>53</v>
      </c>
      <c r="M390" t="s">
        <v>54</v>
      </c>
      <c r="N390" t="s">
        <v>1118</v>
      </c>
    </row>
    <row r="391" spans="1:14">
      <c r="A391" t="s">
        <v>1119</v>
      </c>
      <c r="B391" t="s">
        <v>1120</v>
      </c>
      <c r="C391" t="s">
        <v>251</v>
      </c>
      <c r="D391" t="s">
        <v>26</v>
      </c>
      <c r="E391" t="s">
        <v>74</v>
      </c>
      <c r="F391" t="s">
        <v>92</v>
      </c>
      <c r="G391">
        <v>1</v>
      </c>
      <c r="H391">
        <v>6.95</v>
      </c>
      <c r="I391">
        <v>6.95</v>
      </c>
      <c r="J391">
        <v>4.52</v>
      </c>
      <c r="K391">
        <v>2.43</v>
      </c>
      <c r="L391" t="s">
        <v>36</v>
      </c>
      <c r="M391" t="s">
        <v>21</v>
      </c>
      <c r="N391" t="s">
        <v>431</v>
      </c>
    </row>
    <row r="392" spans="1:14">
      <c r="A392" t="s">
        <v>1121</v>
      </c>
      <c r="B392" t="s">
        <v>443</v>
      </c>
      <c r="C392" t="s">
        <v>1122</v>
      </c>
      <c r="D392" t="s">
        <v>46</v>
      </c>
      <c r="E392" t="s">
        <v>27</v>
      </c>
      <c r="F392" t="s">
        <v>70</v>
      </c>
      <c r="G392">
        <v>3</v>
      </c>
      <c r="H392">
        <v>3.21</v>
      </c>
      <c r="I392">
        <v>9.63</v>
      </c>
      <c r="J392">
        <v>5.59</v>
      </c>
      <c r="K392">
        <v>4.04</v>
      </c>
      <c r="L392" t="s">
        <v>53</v>
      </c>
      <c r="M392" t="s">
        <v>21</v>
      </c>
      <c r="N392" t="s">
        <v>431</v>
      </c>
    </row>
    <row r="393" spans="1:14">
      <c r="A393" t="s">
        <v>1123</v>
      </c>
      <c r="B393" t="s">
        <v>107</v>
      </c>
      <c r="C393" t="s">
        <v>1124</v>
      </c>
      <c r="D393" t="s">
        <v>26</v>
      </c>
      <c r="E393" t="s">
        <v>74</v>
      </c>
      <c r="F393" t="s">
        <v>83</v>
      </c>
      <c r="G393">
        <v>4</v>
      </c>
      <c r="H393">
        <v>4.04</v>
      </c>
      <c r="I393">
        <v>16.16</v>
      </c>
      <c r="J393">
        <v>8.56</v>
      </c>
      <c r="K393">
        <v>7.6</v>
      </c>
      <c r="L393" t="s">
        <v>36</v>
      </c>
      <c r="M393" t="s">
        <v>21</v>
      </c>
      <c r="N393" t="s">
        <v>796</v>
      </c>
    </row>
    <row r="394" spans="1:14">
      <c r="A394" t="s">
        <v>1125</v>
      </c>
      <c r="B394" t="s">
        <v>499</v>
      </c>
      <c r="C394" t="s">
        <v>1126</v>
      </c>
      <c r="D394" t="s">
        <v>17</v>
      </c>
      <c r="E394" t="s">
        <v>18</v>
      </c>
      <c r="F394" t="s">
        <v>19</v>
      </c>
      <c r="G394">
        <v>2</v>
      </c>
      <c r="H394">
        <v>6.49</v>
      </c>
      <c r="I394">
        <v>12.98</v>
      </c>
      <c r="J394">
        <v>5.86</v>
      </c>
      <c r="K394">
        <v>7.12</v>
      </c>
      <c r="L394" t="s">
        <v>36</v>
      </c>
      <c r="M394" t="s">
        <v>29</v>
      </c>
      <c r="N394" t="s">
        <v>61</v>
      </c>
    </row>
    <row r="395" spans="1:14">
      <c r="A395" t="s">
        <v>1127</v>
      </c>
      <c r="B395" t="s">
        <v>305</v>
      </c>
      <c r="C395" t="s">
        <v>1128</v>
      </c>
      <c r="D395" t="s">
        <v>52</v>
      </c>
      <c r="E395" t="s">
        <v>34</v>
      </c>
      <c r="F395" t="s">
        <v>47</v>
      </c>
      <c r="G395">
        <v>5</v>
      </c>
      <c r="H395">
        <v>6.01</v>
      </c>
      <c r="I395">
        <v>30.05</v>
      </c>
      <c r="J395">
        <v>20.86</v>
      </c>
      <c r="K395">
        <v>9.19</v>
      </c>
      <c r="L395" t="s">
        <v>36</v>
      </c>
      <c r="M395" t="s">
        <v>54</v>
      </c>
      <c r="N395" t="s">
        <v>101</v>
      </c>
    </row>
    <row r="396" spans="1:14">
      <c r="A396" t="s">
        <v>1129</v>
      </c>
      <c r="B396" t="s">
        <v>50</v>
      </c>
      <c r="C396" t="s">
        <v>1130</v>
      </c>
      <c r="D396" t="s">
        <v>17</v>
      </c>
      <c r="E396" t="s">
        <v>27</v>
      </c>
      <c r="F396" t="s">
        <v>28</v>
      </c>
      <c r="G396">
        <v>5</v>
      </c>
      <c r="H396">
        <v>6.33</v>
      </c>
      <c r="I396">
        <v>31.65</v>
      </c>
      <c r="J396">
        <v>21.76</v>
      </c>
      <c r="K396">
        <v>9.89</v>
      </c>
      <c r="L396" t="s">
        <v>20</v>
      </c>
      <c r="M396" t="s">
        <v>29</v>
      </c>
      <c r="N396" t="s">
        <v>88</v>
      </c>
    </row>
    <row r="397" spans="1:14">
      <c r="A397" t="s">
        <v>1131</v>
      </c>
      <c r="B397" t="s">
        <v>1047</v>
      </c>
      <c r="C397" t="s">
        <v>1132</v>
      </c>
      <c r="D397" t="s">
        <v>17</v>
      </c>
      <c r="E397" t="s">
        <v>34</v>
      </c>
      <c r="F397" t="s">
        <v>59</v>
      </c>
      <c r="G397">
        <v>1</v>
      </c>
      <c r="H397">
        <v>7.24</v>
      </c>
      <c r="I397">
        <v>7.24</v>
      </c>
      <c r="J397">
        <v>4.61</v>
      </c>
      <c r="K397">
        <v>2.63</v>
      </c>
      <c r="L397" t="s">
        <v>60</v>
      </c>
      <c r="M397" t="s">
        <v>54</v>
      </c>
      <c r="N397" t="s">
        <v>223</v>
      </c>
    </row>
    <row r="398" spans="1:14">
      <c r="A398" t="s">
        <v>1133</v>
      </c>
      <c r="B398" t="s">
        <v>218</v>
      </c>
      <c r="C398" t="s">
        <v>1134</v>
      </c>
      <c r="D398" t="s">
        <v>69</v>
      </c>
      <c r="E398" t="s">
        <v>74</v>
      </c>
      <c r="F398" t="s">
        <v>92</v>
      </c>
      <c r="G398">
        <v>4</v>
      </c>
      <c r="H398">
        <v>5.72</v>
      </c>
      <c r="I398">
        <v>22.88</v>
      </c>
      <c r="J398">
        <v>10.64</v>
      </c>
      <c r="K398">
        <v>12.24</v>
      </c>
      <c r="L398" t="s">
        <v>60</v>
      </c>
      <c r="M398" t="s">
        <v>54</v>
      </c>
      <c r="N398" t="s">
        <v>783</v>
      </c>
    </row>
    <row r="399" spans="1:14">
      <c r="A399" t="s">
        <v>1135</v>
      </c>
      <c r="B399" t="s">
        <v>1136</v>
      </c>
      <c r="C399" t="s">
        <v>1137</v>
      </c>
      <c r="D399" t="s">
        <v>26</v>
      </c>
      <c r="E399" t="s">
        <v>18</v>
      </c>
      <c r="F399" t="s">
        <v>41</v>
      </c>
      <c r="G399">
        <v>3</v>
      </c>
      <c r="H399">
        <v>4.19</v>
      </c>
      <c r="I399">
        <v>12.57</v>
      </c>
      <c r="J399">
        <v>8.33</v>
      </c>
      <c r="K399">
        <v>4.24</v>
      </c>
      <c r="L399" t="s">
        <v>36</v>
      </c>
      <c r="M399" t="s">
        <v>21</v>
      </c>
      <c r="N399" t="s">
        <v>287</v>
      </c>
    </row>
    <row r="400" spans="1:14">
      <c r="A400" t="s">
        <v>1138</v>
      </c>
      <c r="B400" t="s">
        <v>236</v>
      </c>
      <c r="C400" t="s">
        <v>1139</v>
      </c>
      <c r="D400" t="s">
        <v>46</v>
      </c>
      <c r="E400" t="s">
        <v>34</v>
      </c>
      <c r="F400" t="s">
        <v>130</v>
      </c>
      <c r="G400">
        <v>1</v>
      </c>
      <c r="H400">
        <v>3.42</v>
      </c>
      <c r="I400">
        <v>3.42</v>
      </c>
      <c r="J400">
        <v>2.03</v>
      </c>
      <c r="K400">
        <v>1.39</v>
      </c>
      <c r="L400" t="s">
        <v>53</v>
      </c>
      <c r="M400" t="s">
        <v>54</v>
      </c>
      <c r="N400" t="s">
        <v>887</v>
      </c>
    </row>
    <row r="401" spans="1:14">
      <c r="A401" t="s">
        <v>1140</v>
      </c>
      <c r="B401" t="s">
        <v>1075</v>
      </c>
      <c r="C401" t="s">
        <v>1141</v>
      </c>
      <c r="D401" t="s">
        <v>69</v>
      </c>
      <c r="E401" t="s">
        <v>27</v>
      </c>
      <c r="F401" t="s">
        <v>169</v>
      </c>
      <c r="G401">
        <v>5</v>
      </c>
      <c r="H401">
        <v>3.34</v>
      </c>
      <c r="I401">
        <v>16.7</v>
      </c>
      <c r="J401">
        <v>9.21</v>
      </c>
      <c r="K401">
        <v>7.49</v>
      </c>
      <c r="L401" t="s">
        <v>60</v>
      </c>
      <c r="M401" t="s">
        <v>54</v>
      </c>
      <c r="N401" t="s">
        <v>131</v>
      </c>
    </row>
    <row r="402" spans="1:14">
      <c r="A402" t="s">
        <v>1142</v>
      </c>
      <c r="B402" t="s">
        <v>232</v>
      </c>
      <c r="C402" t="s">
        <v>708</v>
      </c>
      <c r="D402" t="s">
        <v>46</v>
      </c>
      <c r="E402" t="s">
        <v>34</v>
      </c>
      <c r="F402" t="s">
        <v>130</v>
      </c>
      <c r="G402">
        <v>2</v>
      </c>
      <c r="H402">
        <v>3.24</v>
      </c>
      <c r="I402">
        <v>6.48</v>
      </c>
      <c r="J402">
        <v>4.27</v>
      </c>
      <c r="K402">
        <v>2.21</v>
      </c>
      <c r="L402" t="s">
        <v>53</v>
      </c>
      <c r="M402" t="s">
        <v>54</v>
      </c>
      <c r="N402" t="s">
        <v>42</v>
      </c>
    </row>
    <row r="403" spans="1:14">
      <c r="A403" t="s">
        <v>1143</v>
      </c>
      <c r="B403" t="s">
        <v>1144</v>
      </c>
      <c r="C403" t="s">
        <v>1145</v>
      </c>
      <c r="D403" t="s">
        <v>46</v>
      </c>
      <c r="E403" t="s">
        <v>74</v>
      </c>
      <c r="F403" t="s">
        <v>83</v>
      </c>
      <c r="G403">
        <v>3</v>
      </c>
      <c r="H403">
        <v>4.74</v>
      </c>
      <c r="I403">
        <v>14.22</v>
      </c>
      <c r="J403">
        <v>8.18</v>
      </c>
      <c r="K403">
        <v>6.04</v>
      </c>
      <c r="L403" t="s">
        <v>53</v>
      </c>
      <c r="M403" t="s">
        <v>54</v>
      </c>
      <c r="N403" t="s">
        <v>644</v>
      </c>
    </row>
    <row r="404" spans="1:14">
      <c r="A404" t="s">
        <v>1146</v>
      </c>
      <c r="B404" t="s">
        <v>1029</v>
      </c>
      <c r="C404" t="s">
        <v>1073</v>
      </c>
      <c r="D404" t="s">
        <v>17</v>
      </c>
      <c r="E404" t="s">
        <v>27</v>
      </c>
      <c r="F404" t="s">
        <v>125</v>
      </c>
      <c r="G404">
        <v>5</v>
      </c>
      <c r="H404">
        <v>7.16</v>
      </c>
      <c r="I404">
        <v>35.8</v>
      </c>
      <c r="J404">
        <v>22.55</v>
      </c>
      <c r="K404">
        <v>13.25</v>
      </c>
      <c r="L404" t="s">
        <v>20</v>
      </c>
      <c r="M404" t="s">
        <v>21</v>
      </c>
      <c r="N404" t="s">
        <v>422</v>
      </c>
    </row>
    <row r="405" spans="1:14">
      <c r="A405" t="s">
        <v>1147</v>
      </c>
      <c r="B405" t="s">
        <v>433</v>
      </c>
      <c r="C405" t="s">
        <v>1148</v>
      </c>
      <c r="D405" t="s">
        <v>52</v>
      </c>
      <c r="E405" t="s">
        <v>34</v>
      </c>
      <c r="F405" t="s">
        <v>59</v>
      </c>
      <c r="G405">
        <v>3</v>
      </c>
      <c r="H405">
        <v>6.13</v>
      </c>
      <c r="I405">
        <v>18.39</v>
      </c>
      <c r="J405">
        <v>12.32</v>
      </c>
      <c r="K405">
        <v>6.07</v>
      </c>
      <c r="L405" t="s">
        <v>60</v>
      </c>
      <c r="M405" t="s">
        <v>29</v>
      </c>
      <c r="N405" t="s">
        <v>850</v>
      </c>
    </row>
    <row r="406" spans="1:14">
      <c r="A406" t="s">
        <v>1149</v>
      </c>
      <c r="B406" t="s">
        <v>858</v>
      </c>
      <c r="C406" t="s">
        <v>1150</v>
      </c>
      <c r="D406" t="s">
        <v>52</v>
      </c>
      <c r="E406" t="s">
        <v>18</v>
      </c>
      <c r="F406" t="s">
        <v>41</v>
      </c>
      <c r="G406">
        <v>2</v>
      </c>
      <c r="H406">
        <v>6.42</v>
      </c>
      <c r="I406">
        <v>12.84</v>
      </c>
      <c r="J406">
        <v>7.14</v>
      </c>
      <c r="K406">
        <v>5.7</v>
      </c>
      <c r="L406" t="s">
        <v>60</v>
      </c>
      <c r="M406" t="s">
        <v>54</v>
      </c>
      <c r="N406" t="s">
        <v>530</v>
      </c>
    </row>
    <row r="407" spans="1:14">
      <c r="A407" t="s">
        <v>1151</v>
      </c>
      <c r="B407" t="s">
        <v>113</v>
      </c>
      <c r="C407" t="s">
        <v>1152</v>
      </c>
      <c r="D407" t="s">
        <v>69</v>
      </c>
      <c r="E407" t="s">
        <v>34</v>
      </c>
      <c r="F407" t="s">
        <v>135</v>
      </c>
      <c r="G407">
        <v>2</v>
      </c>
      <c r="H407">
        <v>5.13</v>
      </c>
      <c r="I407">
        <v>10.26</v>
      </c>
      <c r="J407">
        <v>5.62</v>
      </c>
      <c r="K407">
        <v>4.64</v>
      </c>
      <c r="L407" t="s">
        <v>36</v>
      </c>
      <c r="M407" t="s">
        <v>54</v>
      </c>
      <c r="N407" t="s">
        <v>278</v>
      </c>
    </row>
    <row r="408" spans="1:14">
      <c r="A408" t="s">
        <v>1153</v>
      </c>
      <c r="B408" t="s">
        <v>50</v>
      </c>
      <c r="C408" t="s">
        <v>1154</v>
      </c>
      <c r="D408" t="s">
        <v>46</v>
      </c>
      <c r="E408" t="s">
        <v>27</v>
      </c>
      <c r="F408" t="s">
        <v>70</v>
      </c>
      <c r="G408">
        <v>3</v>
      </c>
      <c r="H408">
        <v>5.39</v>
      </c>
      <c r="I408">
        <v>16.17</v>
      </c>
      <c r="J408">
        <v>8.69</v>
      </c>
      <c r="K408">
        <v>7.48</v>
      </c>
      <c r="L408" t="s">
        <v>60</v>
      </c>
      <c r="M408" t="s">
        <v>29</v>
      </c>
      <c r="N408" t="s">
        <v>84</v>
      </c>
    </row>
    <row r="409" spans="1:14">
      <c r="A409" t="s">
        <v>1155</v>
      </c>
      <c r="B409" t="s">
        <v>172</v>
      </c>
      <c r="C409" t="s">
        <v>1156</v>
      </c>
      <c r="D409" t="s">
        <v>69</v>
      </c>
      <c r="E409" t="s">
        <v>34</v>
      </c>
      <c r="F409" t="s">
        <v>59</v>
      </c>
      <c r="G409">
        <v>5</v>
      </c>
      <c r="H409">
        <v>6.31</v>
      </c>
      <c r="I409">
        <v>31.55</v>
      </c>
      <c r="J409">
        <v>16.17</v>
      </c>
      <c r="K409">
        <v>15.38</v>
      </c>
      <c r="L409" t="s">
        <v>53</v>
      </c>
      <c r="M409" t="s">
        <v>54</v>
      </c>
      <c r="N409" t="s">
        <v>261</v>
      </c>
    </row>
    <row r="410" spans="1:14">
      <c r="A410" t="s">
        <v>1157</v>
      </c>
      <c r="B410" t="s">
        <v>692</v>
      </c>
      <c r="C410" t="s">
        <v>836</v>
      </c>
      <c r="D410" t="s">
        <v>52</v>
      </c>
      <c r="E410" t="s">
        <v>34</v>
      </c>
      <c r="F410" t="s">
        <v>47</v>
      </c>
      <c r="G410">
        <v>1</v>
      </c>
      <c r="H410">
        <v>7.69</v>
      </c>
      <c r="I410">
        <v>7.69</v>
      </c>
      <c r="J410">
        <v>3.83</v>
      </c>
      <c r="K410">
        <v>3.86</v>
      </c>
      <c r="L410" t="s">
        <v>36</v>
      </c>
      <c r="M410" t="s">
        <v>54</v>
      </c>
      <c r="N410" t="s">
        <v>534</v>
      </c>
    </row>
    <row r="411" spans="1:14">
      <c r="A411" t="s">
        <v>1158</v>
      </c>
      <c r="B411" t="s">
        <v>585</v>
      </c>
      <c r="C411" t="s">
        <v>704</v>
      </c>
      <c r="D411" t="s">
        <v>26</v>
      </c>
      <c r="E411" t="s">
        <v>74</v>
      </c>
      <c r="F411" t="s">
        <v>75</v>
      </c>
      <c r="G411">
        <v>5</v>
      </c>
      <c r="H411">
        <v>3.34</v>
      </c>
      <c r="I411">
        <v>16.7</v>
      </c>
      <c r="J411">
        <v>10.9</v>
      </c>
      <c r="K411">
        <v>5.8</v>
      </c>
      <c r="L411" t="s">
        <v>53</v>
      </c>
      <c r="M411" t="s">
        <v>21</v>
      </c>
      <c r="N411" t="s">
        <v>79</v>
      </c>
    </row>
    <row r="412" spans="1:14">
      <c r="A412" t="s">
        <v>1159</v>
      </c>
      <c r="B412" t="s">
        <v>63</v>
      </c>
      <c r="C412" t="s">
        <v>1160</v>
      </c>
      <c r="D412" t="s">
        <v>26</v>
      </c>
      <c r="E412" t="s">
        <v>27</v>
      </c>
      <c r="F412" t="s">
        <v>28</v>
      </c>
      <c r="G412">
        <v>1</v>
      </c>
      <c r="H412">
        <v>3.15</v>
      </c>
      <c r="I412">
        <v>3.15</v>
      </c>
      <c r="J412">
        <v>2.13</v>
      </c>
      <c r="K412">
        <v>1.02</v>
      </c>
      <c r="L412" t="s">
        <v>36</v>
      </c>
      <c r="M412" t="s">
        <v>21</v>
      </c>
      <c r="N412" t="s">
        <v>42</v>
      </c>
    </row>
    <row r="413" spans="1:14">
      <c r="A413" t="s">
        <v>1161</v>
      </c>
      <c r="B413" t="s">
        <v>1162</v>
      </c>
      <c r="C413" t="s">
        <v>1163</v>
      </c>
      <c r="D413" t="s">
        <v>69</v>
      </c>
      <c r="E413" t="s">
        <v>74</v>
      </c>
      <c r="F413" t="s">
        <v>75</v>
      </c>
      <c r="G413">
        <v>4</v>
      </c>
      <c r="H413">
        <v>3.32</v>
      </c>
      <c r="I413">
        <v>13.28</v>
      </c>
      <c r="J413">
        <v>8.48</v>
      </c>
      <c r="K413">
        <v>4.8</v>
      </c>
      <c r="L413" t="s">
        <v>20</v>
      </c>
      <c r="M413" t="s">
        <v>54</v>
      </c>
      <c r="N413" t="s">
        <v>261</v>
      </c>
    </row>
    <row r="414" spans="1:14">
      <c r="A414" t="s">
        <v>1164</v>
      </c>
      <c r="B414" t="s">
        <v>1165</v>
      </c>
      <c r="C414" t="s">
        <v>1166</v>
      </c>
      <c r="D414" t="s">
        <v>26</v>
      </c>
      <c r="E414" t="s">
        <v>18</v>
      </c>
      <c r="F414" t="s">
        <v>41</v>
      </c>
      <c r="G414">
        <v>1</v>
      </c>
      <c r="H414">
        <v>6.62</v>
      </c>
      <c r="I414">
        <v>6.62</v>
      </c>
      <c r="J414">
        <v>3.89</v>
      </c>
      <c r="K414">
        <v>2.73</v>
      </c>
      <c r="L414" t="s">
        <v>53</v>
      </c>
      <c r="M414" t="s">
        <v>54</v>
      </c>
      <c r="N414" t="s">
        <v>368</v>
      </c>
    </row>
    <row r="415" spans="1:14">
      <c r="A415" t="s">
        <v>1167</v>
      </c>
      <c r="B415" t="s">
        <v>1168</v>
      </c>
      <c r="C415" t="s">
        <v>1169</v>
      </c>
      <c r="D415" t="s">
        <v>46</v>
      </c>
      <c r="E415" t="s">
        <v>74</v>
      </c>
      <c r="F415" t="s">
        <v>92</v>
      </c>
      <c r="G415">
        <v>4</v>
      </c>
      <c r="H415">
        <v>6.09</v>
      </c>
      <c r="I415">
        <v>24.36</v>
      </c>
      <c r="J415">
        <v>13.48</v>
      </c>
      <c r="K415">
        <v>10.88</v>
      </c>
      <c r="L415" t="s">
        <v>20</v>
      </c>
      <c r="M415" t="s">
        <v>54</v>
      </c>
      <c r="N415" t="s">
        <v>530</v>
      </c>
    </row>
    <row r="416" spans="1:14">
      <c r="A416" t="s">
        <v>1170</v>
      </c>
      <c r="B416" t="s">
        <v>538</v>
      </c>
      <c r="C416" t="s">
        <v>1171</v>
      </c>
      <c r="D416" t="s">
        <v>26</v>
      </c>
      <c r="E416" t="s">
        <v>34</v>
      </c>
      <c r="F416" t="s">
        <v>135</v>
      </c>
      <c r="G416">
        <v>2</v>
      </c>
      <c r="H416">
        <v>4.62</v>
      </c>
      <c r="I416">
        <v>9.24</v>
      </c>
      <c r="J416">
        <v>6.24</v>
      </c>
      <c r="K416">
        <v>3</v>
      </c>
      <c r="L416" t="s">
        <v>60</v>
      </c>
      <c r="M416" t="s">
        <v>21</v>
      </c>
      <c r="N416" t="s">
        <v>131</v>
      </c>
    </row>
    <row r="417" spans="1:14">
      <c r="A417" t="s">
        <v>1172</v>
      </c>
      <c r="B417" t="s">
        <v>594</v>
      </c>
      <c r="C417" t="s">
        <v>878</v>
      </c>
      <c r="D417" t="s">
        <v>69</v>
      </c>
      <c r="E417" t="s">
        <v>18</v>
      </c>
      <c r="F417" t="s">
        <v>146</v>
      </c>
      <c r="G417">
        <v>5</v>
      </c>
      <c r="H417">
        <v>6.7</v>
      </c>
      <c r="I417">
        <v>33.5</v>
      </c>
      <c r="J417">
        <v>17.93</v>
      </c>
      <c r="K417">
        <v>15.57</v>
      </c>
      <c r="L417" t="s">
        <v>60</v>
      </c>
      <c r="M417" t="s">
        <v>29</v>
      </c>
      <c r="N417" t="s">
        <v>644</v>
      </c>
    </row>
    <row r="418" spans="1:14">
      <c r="A418" t="s">
        <v>1173</v>
      </c>
      <c r="B418" t="s">
        <v>957</v>
      </c>
      <c r="C418" t="s">
        <v>1174</v>
      </c>
      <c r="D418" t="s">
        <v>26</v>
      </c>
      <c r="E418" t="s">
        <v>18</v>
      </c>
      <c r="F418" t="s">
        <v>19</v>
      </c>
      <c r="G418">
        <v>4</v>
      </c>
      <c r="H418">
        <v>5.26</v>
      </c>
      <c r="I418">
        <v>21.04</v>
      </c>
      <c r="J418">
        <v>14.05</v>
      </c>
      <c r="K418">
        <v>6.99</v>
      </c>
      <c r="L418" t="s">
        <v>20</v>
      </c>
      <c r="M418" t="s">
        <v>21</v>
      </c>
      <c r="N418" t="s">
        <v>401</v>
      </c>
    </row>
    <row r="419" spans="1:14">
      <c r="A419" t="s">
        <v>1175</v>
      </c>
      <c r="B419" t="s">
        <v>266</v>
      </c>
      <c r="C419" t="s">
        <v>1176</v>
      </c>
      <c r="D419" t="s">
        <v>17</v>
      </c>
      <c r="E419" t="s">
        <v>27</v>
      </c>
      <c r="F419" t="s">
        <v>70</v>
      </c>
      <c r="G419">
        <v>5</v>
      </c>
      <c r="H419">
        <v>5.45</v>
      </c>
      <c r="I419">
        <v>27.25</v>
      </c>
      <c r="J419">
        <v>17.57</v>
      </c>
      <c r="K419">
        <v>9.68</v>
      </c>
      <c r="L419" t="s">
        <v>60</v>
      </c>
      <c r="M419" t="s">
        <v>21</v>
      </c>
      <c r="N419" t="s">
        <v>84</v>
      </c>
    </row>
    <row r="420" spans="1:14">
      <c r="A420" t="s">
        <v>1177</v>
      </c>
      <c r="B420" t="s">
        <v>625</v>
      </c>
      <c r="C420" t="s">
        <v>1178</v>
      </c>
      <c r="D420" t="s">
        <v>69</v>
      </c>
      <c r="E420" t="s">
        <v>34</v>
      </c>
      <c r="F420" t="s">
        <v>47</v>
      </c>
      <c r="G420">
        <v>1</v>
      </c>
      <c r="H420">
        <v>5.5</v>
      </c>
      <c r="I420">
        <v>5.5</v>
      </c>
      <c r="J420">
        <v>2.94</v>
      </c>
      <c r="K420">
        <v>2.56</v>
      </c>
      <c r="L420" t="s">
        <v>20</v>
      </c>
      <c r="M420" t="s">
        <v>21</v>
      </c>
      <c r="N420" t="s">
        <v>191</v>
      </c>
    </row>
    <row r="421" spans="1:14">
      <c r="A421" t="s">
        <v>1179</v>
      </c>
      <c r="B421" t="s">
        <v>667</v>
      </c>
      <c r="C421" t="s">
        <v>1180</v>
      </c>
      <c r="D421" t="s">
        <v>69</v>
      </c>
      <c r="E421" t="s">
        <v>18</v>
      </c>
      <c r="F421" t="s">
        <v>146</v>
      </c>
      <c r="G421">
        <v>1</v>
      </c>
      <c r="H421">
        <v>7.91</v>
      </c>
      <c r="I421">
        <v>7.91</v>
      </c>
      <c r="J421">
        <v>5.11</v>
      </c>
      <c r="K421">
        <v>2.8</v>
      </c>
      <c r="L421" t="s">
        <v>60</v>
      </c>
      <c r="M421" t="s">
        <v>29</v>
      </c>
      <c r="N421" t="s">
        <v>142</v>
      </c>
    </row>
    <row r="422" spans="1:14">
      <c r="A422" t="s">
        <v>1181</v>
      </c>
      <c r="B422" t="s">
        <v>670</v>
      </c>
      <c r="C422" t="s">
        <v>1182</v>
      </c>
      <c r="D422" t="s">
        <v>17</v>
      </c>
      <c r="E422" t="s">
        <v>27</v>
      </c>
      <c r="F422" t="s">
        <v>70</v>
      </c>
      <c r="G422">
        <v>2</v>
      </c>
      <c r="H422">
        <v>2.89</v>
      </c>
      <c r="I422">
        <v>5.78</v>
      </c>
      <c r="J422">
        <v>2.72</v>
      </c>
      <c r="K422">
        <v>3.06</v>
      </c>
      <c r="L422" t="s">
        <v>36</v>
      </c>
      <c r="M422" t="s">
        <v>29</v>
      </c>
      <c r="N422" t="s">
        <v>1118</v>
      </c>
    </row>
    <row r="423" spans="1:14">
      <c r="A423" t="s">
        <v>1183</v>
      </c>
      <c r="B423" t="s">
        <v>399</v>
      </c>
      <c r="C423" t="s">
        <v>1184</v>
      </c>
      <c r="D423" t="s">
        <v>17</v>
      </c>
      <c r="E423" t="s">
        <v>74</v>
      </c>
      <c r="F423" t="s">
        <v>83</v>
      </c>
      <c r="G423">
        <v>4</v>
      </c>
      <c r="H423">
        <v>4.56</v>
      </c>
      <c r="I423">
        <v>18.24</v>
      </c>
      <c r="J423">
        <v>12.67</v>
      </c>
      <c r="K423">
        <v>5.57</v>
      </c>
      <c r="L423" t="s">
        <v>60</v>
      </c>
      <c r="M423" t="s">
        <v>54</v>
      </c>
      <c r="N423" t="s">
        <v>151</v>
      </c>
    </row>
    <row r="424" spans="1:14">
      <c r="A424" t="s">
        <v>1185</v>
      </c>
      <c r="B424" t="s">
        <v>67</v>
      </c>
      <c r="C424" t="s">
        <v>1186</v>
      </c>
      <c r="D424" t="s">
        <v>26</v>
      </c>
      <c r="E424" t="s">
        <v>74</v>
      </c>
      <c r="F424" t="s">
        <v>92</v>
      </c>
      <c r="G424">
        <v>3</v>
      </c>
      <c r="H424">
        <v>4.57</v>
      </c>
      <c r="I424">
        <v>13.71</v>
      </c>
      <c r="J424">
        <v>7.36</v>
      </c>
      <c r="K424">
        <v>6.35</v>
      </c>
      <c r="L424" t="s">
        <v>20</v>
      </c>
      <c r="M424" t="s">
        <v>29</v>
      </c>
      <c r="N424" t="s">
        <v>422</v>
      </c>
    </row>
    <row r="425" spans="1:14">
      <c r="A425" t="s">
        <v>1187</v>
      </c>
      <c r="B425" t="s">
        <v>1168</v>
      </c>
      <c r="C425" t="s">
        <v>1156</v>
      </c>
      <c r="D425" t="s">
        <v>52</v>
      </c>
      <c r="E425" t="s">
        <v>27</v>
      </c>
      <c r="F425" t="s">
        <v>70</v>
      </c>
      <c r="G425">
        <v>4</v>
      </c>
      <c r="H425">
        <v>3.71</v>
      </c>
      <c r="I425">
        <v>14.84</v>
      </c>
      <c r="J425">
        <v>6.88</v>
      </c>
      <c r="K425">
        <v>7.96</v>
      </c>
      <c r="L425" t="s">
        <v>53</v>
      </c>
      <c r="M425" t="s">
        <v>54</v>
      </c>
      <c r="N425" t="s">
        <v>84</v>
      </c>
    </row>
    <row r="426" spans="1:14">
      <c r="A426" t="s">
        <v>1188</v>
      </c>
      <c r="B426" t="s">
        <v>541</v>
      </c>
      <c r="C426" t="s">
        <v>1189</v>
      </c>
      <c r="D426" t="s">
        <v>46</v>
      </c>
      <c r="E426" t="s">
        <v>34</v>
      </c>
      <c r="F426" t="s">
        <v>130</v>
      </c>
      <c r="G426">
        <v>5</v>
      </c>
      <c r="H426">
        <v>7.53</v>
      </c>
      <c r="I426">
        <v>37.65</v>
      </c>
      <c r="J426">
        <v>19.27</v>
      </c>
      <c r="K426">
        <v>18.38</v>
      </c>
      <c r="L426" t="s">
        <v>20</v>
      </c>
      <c r="M426" t="s">
        <v>29</v>
      </c>
      <c r="N426" t="s">
        <v>234</v>
      </c>
    </row>
    <row r="427" spans="1:14">
      <c r="A427" t="s">
        <v>1190</v>
      </c>
      <c r="B427" t="s">
        <v>1191</v>
      </c>
      <c r="C427" t="s">
        <v>946</v>
      </c>
      <c r="D427" t="s">
        <v>46</v>
      </c>
      <c r="E427" t="s">
        <v>27</v>
      </c>
      <c r="F427" t="s">
        <v>28</v>
      </c>
      <c r="G427">
        <v>1</v>
      </c>
      <c r="H427">
        <v>3.38</v>
      </c>
      <c r="I427">
        <v>3.38</v>
      </c>
      <c r="J427">
        <v>2.15</v>
      </c>
      <c r="K427">
        <v>1.23</v>
      </c>
      <c r="L427" t="s">
        <v>20</v>
      </c>
      <c r="M427" t="s">
        <v>54</v>
      </c>
      <c r="N427" t="s">
        <v>970</v>
      </c>
    </row>
    <row r="428" spans="1:14">
      <c r="A428" t="s">
        <v>1192</v>
      </c>
      <c r="B428" t="s">
        <v>1193</v>
      </c>
      <c r="C428" t="s">
        <v>1194</v>
      </c>
      <c r="D428" t="s">
        <v>52</v>
      </c>
      <c r="E428" t="s">
        <v>27</v>
      </c>
      <c r="F428" t="s">
        <v>125</v>
      </c>
      <c r="G428">
        <v>4</v>
      </c>
      <c r="H428">
        <v>5.32</v>
      </c>
      <c r="I428">
        <v>21.28</v>
      </c>
      <c r="J428">
        <v>12.06</v>
      </c>
      <c r="K428">
        <v>9.22</v>
      </c>
      <c r="L428" t="s">
        <v>36</v>
      </c>
      <c r="M428" t="s">
        <v>29</v>
      </c>
      <c r="N428" t="s">
        <v>165</v>
      </c>
    </row>
    <row r="429" spans="1:14">
      <c r="A429" t="s">
        <v>1195</v>
      </c>
      <c r="B429" t="s">
        <v>548</v>
      </c>
      <c r="C429" t="s">
        <v>1196</v>
      </c>
      <c r="D429" t="s">
        <v>26</v>
      </c>
      <c r="E429" t="s">
        <v>27</v>
      </c>
      <c r="F429" t="s">
        <v>28</v>
      </c>
      <c r="G429">
        <v>2</v>
      </c>
      <c r="H429">
        <v>7.56</v>
      </c>
      <c r="I429">
        <v>15.12</v>
      </c>
      <c r="J429">
        <v>10.43</v>
      </c>
      <c r="K429">
        <v>4.69</v>
      </c>
      <c r="L429" t="s">
        <v>36</v>
      </c>
      <c r="M429" t="s">
        <v>29</v>
      </c>
      <c r="N429" t="s">
        <v>574</v>
      </c>
    </row>
    <row r="430" spans="1:14">
      <c r="A430" t="s">
        <v>1197</v>
      </c>
      <c r="B430" t="s">
        <v>375</v>
      </c>
      <c r="C430" t="s">
        <v>1198</v>
      </c>
      <c r="D430" t="s">
        <v>46</v>
      </c>
      <c r="E430" t="s">
        <v>34</v>
      </c>
      <c r="F430" t="s">
        <v>130</v>
      </c>
      <c r="G430">
        <v>1</v>
      </c>
      <c r="H430">
        <v>6</v>
      </c>
      <c r="I430">
        <v>6</v>
      </c>
      <c r="J430">
        <v>3.75</v>
      </c>
      <c r="K430">
        <v>2.25</v>
      </c>
      <c r="L430" t="s">
        <v>20</v>
      </c>
      <c r="M430" t="s">
        <v>21</v>
      </c>
      <c r="N430" t="s">
        <v>223</v>
      </c>
    </row>
    <row r="431" spans="1:14">
      <c r="A431" t="s">
        <v>1199</v>
      </c>
      <c r="B431" t="s">
        <v>585</v>
      </c>
      <c r="C431" t="s">
        <v>1200</v>
      </c>
      <c r="D431" t="s">
        <v>46</v>
      </c>
      <c r="E431" t="s">
        <v>74</v>
      </c>
      <c r="F431" t="s">
        <v>92</v>
      </c>
      <c r="G431">
        <v>1</v>
      </c>
      <c r="H431">
        <v>5.7</v>
      </c>
      <c r="I431">
        <v>5.7</v>
      </c>
      <c r="J431">
        <v>3.45</v>
      </c>
      <c r="K431">
        <v>2.25</v>
      </c>
      <c r="L431" t="s">
        <v>60</v>
      </c>
      <c r="M431" t="s">
        <v>54</v>
      </c>
      <c r="N431" t="s">
        <v>79</v>
      </c>
    </row>
    <row r="432" spans="1:14">
      <c r="A432" t="s">
        <v>1201</v>
      </c>
      <c r="B432" t="s">
        <v>392</v>
      </c>
      <c r="C432" t="s">
        <v>1202</v>
      </c>
      <c r="D432" t="s">
        <v>46</v>
      </c>
      <c r="E432" t="s">
        <v>18</v>
      </c>
      <c r="F432" t="s">
        <v>41</v>
      </c>
      <c r="G432">
        <v>2</v>
      </c>
      <c r="H432">
        <v>3.18</v>
      </c>
      <c r="I432">
        <v>6.36</v>
      </c>
      <c r="J432">
        <v>3.86</v>
      </c>
      <c r="K432">
        <v>2.5</v>
      </c>
      <c r="L432" t="s">
        <v>60</v>
      </c>
      <c r="M432" t="s">
        <v>29</v>
      </c>
      <c r="N432" t="s">
        <v>209</v>
      </c>
    </row>
    <row r="433" spans="1:14">
      <c r="A433" t="s">
        <v>1203</v>
      </c>
      <c r="B433" t="s">
        <v>820</v>
      </c>
      <c r="C433" t="s">
        <v>753</v>
      </c>
      <c r="D433" t="s">
        <v>17</v>
      </c>
      <c r="E433" t="s">
        <v>27</v>
      </c>
      <c r="F433" t="s">
        <v>28</v>
      </c>
      <c r="G433">
        <v>2</v>
      </c>
      <c r="H433">
        <v>6.16</v>
      </c>
      <c r="I433">
        <v>12.32</v>
      </c>
      <c r="J433">
        <v>8.09</v>
      </c>
      <c r="K433">
        <v>4.23</v>
      </c>
      <c r="L433" t="s">
        <v>20</v>
      </c>
      <c r="M433" t="s">
        <v>21</v>
      </c>
      <c r="N433" t="s">
        <v>187</v>
      </c>
    </row>
    <row r="434" spans="1:14">
      <c r="A434" t="s">
        <v>1204</v>
      </c>
      <c r="B434" t="s">
        <v>157</v>
      </c>
      <c r="C434" t="s">
        <v>251</v>
      </c>
      <c r="D434" t="s">
        <v>69</v>
      </c>
      <c r="E434" t="s">
        <v>74</v>
      </c>
      <c r="F434" t="s">
        <v>92</v>
      </c>
      <c r="G434">
        <v>1</v>
      </c>
      <c r="H434">
        <v>6.73</v>
      </c>
      <c r="I434">
        <v>6.73</v>
      </c>
      <c r="J434">
        <v>4.09</v>
      </c>
      <c r="K434">
        <v>2.64</v>
      </c>
      <c r="L434" t="s">
        <v>60</v>
      </c>
      <c r="M434" t="s">
        <v>21</v>
      </c>
      <c r="N434" t="s">
        <v>1205</v>
      </c>
    </row>
    <row r="435" spans="1:14">
      <c r="A435" t="s">
        <v>1206</v>
      </c>
      <c r="B435" t="s">
        <v>107</v>
      </c>
      <c r="C435" t="s">
        <v>828</v>
      </c>
      <c r="D435" t="s">
        <v>46</v>
      </c>
      <c r="E435" t="s">
        <v>18</v>
      </c>
      <c r="F435" t="s">
        <v>41</v>
      </c>
      <c r="G435">
        <v>1</v>
      </c>
      <c r="H435">
        <v>4.6</v>
      </c>
      <c r="I435">
        <v>4.6</v>
      </c>
      <c r="J435">
        <v>2.88</v>
      </c>
      <c r="K435">
        <v>1.72</v>
      </c>
      <c r="L435" t="s">
        <v>53</v>
      </c>
      <c r="M435" t="s">
        <v>21</v>
      </c>
      <c r="N435" t="s">
        <v>183</v>
      </c>
    </row>
    <row r="436" spans="1:14">
      <c r="A436" t="s">
        <v>1207</v>
      </c>
      <c r="B436" t="s">
        <v>1208</v>
      </c>
      <c r="C436" t="s">
        <v>1209</v>
      </c>
      <c r="D436" t="s">
        <v>17</v>
      </c>
      <c r="E436" t="s">
        <v>34</v>
      </c>
      <c r="F436" t="s">
        <v>130</v>
      </c>
      <c r="G436">
        <v>3</v>
      </c>
      <c r="H436">
        <v>4.89</v>
      </c>
      <c r="I436">
        <v>14.67</v>
      </c>
      <c r="J436">
        <v>8.73</v>
      </c>
      <c r="K436">
        <v>5.94</v>
      </c>
      <c r="L436" t="s">
        <v>20</v>
      </c>
      <c r="M436" t="s">
        <v>29</v>
      </c>
      <c r="N436" t="s">
        <v>271</v>
      </c>
    </row>
    <row r="437" spans="1:14">
      <c r="A437" t="s">
        <v>1210</v>
      </c>
      <c r="B437" t="s">
        <v>196</v>
      </c>
      <c r="C437" t="s">
        <v>801</v>
      </c>
      <c r="D437" t="s">
        <v>69</v>
      </c>
      <c r="E437" t="s">
        <v>34</v>
      </c>
      <c r="F437" t="s">
        <v>47</v>
      </c>
      <c r="G437">
        <v>1</v>
      </c>
      <c r="H437">
        <v>3.76</v>
      </c>
      <c r="I437">
        <v>3.76</v>
      </c>
      <c r="J437">
        <v>1.7</v>
      </c>
      <c r="K437">
        <v>2.06</v>
      </c>
      <c r="L437" t="s">
        <v>36</v>
      </c>
      <c r="M437" t="s">
        <v>54</v>
      </c>
      <c r="N437" t="s">
        <v>48</v>
      </c>
    </row>
    <row r="438" spans="1:14">
      <c r="A438" t="s">
        <v>1211</v>
      </c>
      <c r="B438" t="s">
        <v>1212</v>
      </c>
      <c r="C438" t="s">
        <v>1213</v>
      </c>
      <c r="D438" t="s">
        <v>52</v>
      </c>
      <c r="E438" t="s">
        <v>27</v>
      </c>
      <c r="F438" t="s">
        <v>28</v>
      </c>
      <c r="G438">
        <v>4</v>
      </c>
      <c r="H438">
        <v>7.77</v>
      </c>
      <c r="I438">
        <v>31.08</v>
      </c>
      <c r="J438">
        <v>20.06</v>
      </c>
      <c r="K438">
        <v>11.02</v>
      </c>
      <c r="L438" t="s">
        <v>53</v>
      </c>
      <c r="M438" t="s">
        <v>54</v>
      </c>
      <c r="N438" t="s">
        <v>727</v>
      </c>
    </row>
    <row r="439" spans="1:14">
      <c r="A439" t="s">
        <v>1214</v>
      </c>
      <c r="B439" t="s">
        <v>1215</v>
      </c>
      <c r="C439" t="s">
        <v>1216</v>
      </c>
      <c r="D439" t="s">
        <v>26</v>
      </c>
      <c r="E439" t="s">
        <v>34</v>
      </c>
      <c r="F439" t="s">
        <v>47</v>
      </c>
      <c r="G439">
        <v>5</v>
      </c>
      <c r="H439">
        <v>3.04</v>
      </c>
      <c r="I439">
        <v>15.2</v>
      </c>
      <c r="J439">
        <v>9.37</v>
      </c>
      <c r="K439">
        <v>5.83</v>
      </c>
      <c r="L439" t="s">
        <v>60</v>
      </c>
      <c r="M439" t="s">
        <v>29</v>
      </c>
      <c r="N439" t="s">
        <v>322</v>
      </c>
    </row>
    <row r="440" spans="1:14">
      <c r="A440" t="s">
        <v>1217</v>
      </c>
      <c r="B440" t="s">
        <v>634</v>
      </c>
      <c r="C440" t="s">
        <v>1218</v>
      </c>
      <c r="D440" t="s">
        <v>69</v>
      </c>
      <c r="E440" t="s">
        <v>18</v>
      </c>
      <c r="F440" t="s">
        <v>41</v>
      </c>
      <c r="G440">
        <v>5</v>
      </c>
      <c r="H440">
        <v>2.6</v>
      </c>
      <c r="I440">
        <v>13</v>
      </c>
      <c r="J440">
        <v>7.55</v>
      </c>
      <c r="K440">
        <v>5.45</v>
      </c>
      <c r="L440" t="s">
        <v>53</v>
      </c>
      <c r="M440" t="s">
        <v>21</v>
      </c>
      <c r="N440" t="s">
        <v>783</v>
      </c>
    </row>
    <row r="441" spans="1:14">
      <c r="A441" t="s">
        <v>1219</v>
      </c>
      <c r="B441" t="s">
        <v>123</v>
      </c>
      <c r="C441" t="s">
        <v>1220</v>
      </c>
      <c r="D441" t="s">
        <v>17</v>
      </c>
      <c r="E441" t="s">
        <v>34</v>
      </c>
      <c r="F441" t="s">
        <v>35</v>
      </c>
      <c r="G441">
        <v>4</v>
      </c>
      <c r="H441">
        <v>6.67</v>
      </c>
      <c r="I441">
        <v>26.68</v>
      </c>
      <c r="J441">
        <v>17.66</v>
      </c>
      <c r="K441">
        <v>9.02</v>
      </c>
      <c r="L441" t="s">
        <v>53</v>
      </c>
      <c r="M441" t="s">
        <v>21</v>
      </c>
      <c r="N441" t="s">
        <v>896</v>
      </c>
    </row>
    <row r="442" spans="1:14">
      <c r="A442" t="s">
        <v>1221</v>
      </c>
      <c r="B442" t="s">
        <v>1012</v>
      </c>
      <c r="C442" t="s">
        <v>1222</v>
      </c>
      <c r="D442" t="s">
        <v>69</v>
      </c>
      <c r="E442" t="s">
        <v>18</v>
      </c>
      <c r="F442" t="s">
        <v>19</v>
      </c>
      <c r="G442">
        <v>4</v>
      </c>
      <c r="H442">
        <v>3.14</v>
      </c>
      <c r="I442">
        <v>12.56</v>
      </c>
      <c r="J442">
        <v>6.46</v>
      </c>
      <c r="K442">
        <v>6.1</v>
      </c>
      <c r="L442" t="s">
        <v>53</v>
      </c>
      <c r="M442" t="s">
        <v>21</v>
      </c>
      <c r="N442" t="s">
        <v>61</v>
      </c>
    </row>
    <row r="443" spans="1:14">
      <c r="A443" t="s">
        <v>1223</v>
      </c>
      <c r="B443" t="s">
        <v>1037</v>
      </c>
      <c r="C443" t="s">
        <v>1224</v>
      </c>
      <c r="D443" t="s">
        <v>46</v>
      </c>
      <c r="E443" t="s">
        <v>34</v>
      </c>
      <c r="F443" t="s">
        <v>35</v>
      </c>
      <c r="G443">
        <v>1</v>
      </c>
      <c r="H443">
        <v>6.96</v>
      </c>
      <c r="I443">
        <v>6.96</v>
      </c>
      <c r="J443">
        <v>3.74</v>
      </c>
      <c r="K443">
        <v>3.22</v>
      </c>
      <c r="L443" t="s">
        <v>53</v>
      </c>
      <c r="M443" t="s">
        <v>21</v>
      </c>
      <c r="N443" t="s">
        <v>796</v>
      </c>
    </row>
    <row r="444" spans="1:14">
      <c r="A444" t="s">
        <v>1225</v>
      </c>
      <c r="B444" t="s">
        <v>855</v>
      </c>
      <c r="C444" t="s">
        <v>544</v>
      </c>
      <c r="D444" t="s">
        <v>26</v>
      </c>
      <c r="E444" t="s">
        <v>34</v>
      </c>
      <c r="F444" t="s">
        <v>135</v>
      </c>
      <c r="G444">
        <v>2</v>
      </c>
      <c r="H444">
        <v>3.28</v>
      </c>
      <c r="I444">
        <v>6.56</v>
      </c>
      <c r="J444">
        <v>3.53</v>
      </c>
      <c r="K444">
        <v>3.03</v>
      </c>
      <c r="L444" t="s">
        <v>36</v>
      </c>
      <c r="M444" t="s">
        <v>29</v>
      </c>
      <c r="N444" t="s">
        <v>373</v>
      </c>
    </row>
    <row r="445" spans="1:14">
      <c r="A445" t="s">
        <v>1226</v>
      </c>
      <c r="B445" t="s">
        <v>1227</v>
      </c>
      <c r="C445" t="s">
        <v>334</v>
      </c>
      <c r="D445" t="s">
        <v>17</v>
      </c>
      <c r="E445" t="s">
        <v>74</v>
      </c>
      <c r="F445" t="s">
        <v>92</v>
      </c>
      <c r="G445">
        <v>4</v>
      </c>
      <c r="H445">
        <v>3.32</v>
      </c>
      <c r="I445">
        <v>13.28</v>
      </c>
      <c r="J445">
        <v>9.22</v>
      </c>
      <c r="K445">
        <v>4.06</v>
      </c>
      <c r="L445" t="s">
        <v>53</v>
      </c>
      <c r="M445" t="s">
        <v>21</v>
      </c>
      <c r="N445" t="s">
        <v>212</v>
      </c>
    </row>
    <row r="446" spans="1:14">
      <c r="A446" t="s">
        <v>1228</v>
      </c>
      <c r="B446" t="s">
        <v>684</v>
      </c>
      <c r="C446" t="s">
        <v>1085</v>
      </c>
      <c r="D446" t="s">
        <v>26</v>
      </c>
      <c r="E446" t="s">
        <v>74</v>
      </c>
      <c r="F446" t="s">
        <v>75</v>
      </c>
      <c r="G446">
        <v>3</v>
      </c>
      <c r="H446">
        <v>3.74</v>
      </c>
      <c r="I446">
        <v>11.22</v>
      </c>
      <c r="J446">
        <v>5.68</v>
      </c>
      <c r="K446">
        <v>5.54</v>
      </c>
      <c r="L446" t="s">
        <v>60</v>
      </c>
      <c r="M446" t="s">
        <v>29</v>
      </c>
      <c r="N446" t="s">
        <v>431</v>
      </c>
    </row>
    <row r="447" spans="1:14">
      <c r="A447" t="s">
        <v>1229</v>
      </c>
      <c r="B447" t="s">
        <v>968</v>
      </c>
      <c r="C447" t="s">
        <v>640</v>
      </c>
      <c r="D447" t="s">
        <v>52</v>
      </c>
      <c r="E447" t="s">
        <v>34</v>
      </c>
      <c r="F447" t="s">
        <v>35</v>
      </c>
      <c r="G447">
        <v>2</v>
      </c>
      <c r="H447">
        <v>2.67</v>
      </c>
      <c r="I447">
        <v>5.34</v>
      </c>
      <c r="J447">
        <v>3.04</v>
      </c>
      <c r="K447">
        <v>2.3</v>
      </c>
      <c r="L447" t="s">
        <v>53</v>
      </c>
      <c r="M447" t="s">
        <v>21</v>
      </c>
      <c r="N447" t="s">
        <v>599</v>
      </c>
    </row>
    <row r="448" spans="1:14">
      <c r="A448" t="s">
        <v>1230</v>
      </c>
      <c r="B448" t="s">
        <v>1231</v>
      </c>
      <c r="C448" t="s">
        <v>1232</v>
      </c>
      <c r="D448" t="s">
        <v>69</v>
      </c>
      <c r="E448" t="s">
        <v>18</v>
      </c>
      <c r="F448" t="s">
        <v>146</v>
      </c>
      <c r="G448">
        <v>4</v>
      </c>
      <c r="H448">
        <v>3.63</v>
      </c>
      <c r="I448">
        <v>14.52</v>
      </c>
      <c r="J448">
        <v>6.54</v>
      </c>
      <c r="K448">
        <v>7.98</v>
      </c>
      <c r="L448" t="s">
        <v>60</v>
      </c>
      <c r="M448" t="s">
        <v>54</v>
      </c>
      <c r="N448" t="s">
        <v>79</v>
      </c>
    </row>
    <row r="449" spans="1:14">
      <c r="A449" t="s">
        <v>1233</v>
      </c>
      <c r="B449" t="s">
        <v>1023</v>
      </c>
      <c r="C449" t="s">
        <v>1234</v>
      </c>
      <c r="D449" t="s">
        <v>17</v>
      </c>
      <c r="E449" t="s">
        <v>74</v>
      </c>
      <c r="F449" t="s">
        <v>92</v>
      </c>
      <c r="G449">
        <v>1</v>
      </c>
      <c r="H449">
        <v>4.95</v>
      </c>
      <c r="I449">
        <v>4.95</v>
      </c>
      <c r="J449">
        <v>2.75</v>
      </c>
      <c r="K449">
        <v>2.2</v>
      </c>
      <c r="L449" t="s">
        <v>60</v>
      </c>
      <c r="M449" t="s">
        <v>29</v>
      </c>
      <c r="N449" t="s">
        <v>88</v>
      </c>
    </row>
    <row r="450" spans="1:14">
      <c r="A450" t="s">
        <v>1235</v>
      </c>
      <c r="B450" t="s">
        <v>905</v>
      </c>
      <c r="C450" t="s">
        <v>1236</v>
      </c>
      <c r="D450" t="s">
        <v>46</v>
      </c>
      <c r="E450" t="s">
        <v>27</v>
      </c>
      <c r="F450" t="s">
        <v>28</v>
      </c>
      <c r="G450">
        <v>5</v>
      </c>
      <c r="H450">
        <v>3.12</v>
      </c>
      <c r="I450">
        <v>15.6</v>
      </c>
      <c r="J450">
        <v>8.01</v>
      </c>
      <c r="K450">
        <v>7.59</v>
      </c>
      <c r="L450" t="s">
        <v>53</v>
      </c>
      <c r="M450" t="s">
        <v>54</v>
      </c>
      <c r="N450" t="s">
        <v>131</v>
      </c>
    </row>
    <row r="451" spans="1:14">
      <c r="A451" t="s">
        <v>1237</v>
      </c>
      <c r="B451" t="s">
        <v>86</v>
      </c>
      <c r="C451" t="s">
        <v>1238</v>
      </c>
      <c r="D451" t="s">
        <v>17</v>
      </c>
      <c r="E451" t="s">
        <v>27</v>
      </c>
      <c r="F451" t="s">
        <v>28</v>
      </c>
      <c r="G451">
        <v>3</v>
      </c>
      <c r="H451">
        <v>4.3</v>
      </c>
      <c r="I451">
        <v>12.9</v>
      </c>
      <c r="J451">
        <v>7.01</v>
      </c>
      <c r="K451">
        <v>5.89</v>
      </c>
      <c r="L451" t="s">
        <v>60</v>
      </c>
      <c r="M451" t="s">
        <v>54</v>
      </c>
      <c r="N451" t="s">
        <v>216</v>
      </c>
    </row>
    <row r="452" spans="1:14">
      <c r="A452" t="s">
        <v>1239</v>
      </c>
      <c r="B452" t="s">
        <v>1120</v>
      </c>
      <c r="C452" t="s">
        <v>1240</v>
      </c>
      <c r="D452" t="s">
        <v>69</v>
      </c>
      <c r="E452" t="s">
        <v>74</v>
      </c>
      <c r="F452" t="s">
        <v>92</v>
      </c>
      <c r="G452">
        <v>1</v>
      </c>
      <c r="H452">
        <v>5.73</v>
      </c>
      <c r="I452">
        <v>5.73</v>
      </c>
      <c r="J452">
        <v>2.96</v>
      </c>
      <c r="K452">
        <v>2.77</v>
      </c>
      <c r="L452" t="s">
        <v>20</v>
      </c>
      <c r="M452" t="s">
        <v>54</v>
      </c>
      <c r="N452" t="s">
        <v>491</v>
      </c>
    </row>
    <row r="453" spans="1:14">
      <c r="A453" t="s">
        <v>1241</v>
      </c>
      <c r="B453" t="s">
        <v>502</v>
      </c>
      <c r="C453" t="s">
        <v>1056</v>
      </c>
      <c r="D453" t="s">
        <v>69</v>
      </c>
      <c r="E453" t="s">
        <v>34</v>
      </c>
      <c r="F453" t="s">
        <v>59</v>
      </c>
      <c r="G453">
        <v>1</v>
      </c>
      <c r="H453">
        <v>5.29</v>
      </c>
      <c r="I453">
        <v>5.29</v>
      </c>
      <c r="J453">
        <v>3.49</v>
      </c>
      <c r="K453">
        <v>1.8</v>
      </c>
      <c r="L453" t="s">
        <v>20</v>
      </c>
      <c r="M453" t="s">
        <v>54</v>
      </c>
      <c r="N453" t="s">
        <v>55</v>
      </c>
    </row>
    <row r="454" spans="1:14">
      <c r="A454" t="s">
        <v>1242</v>
      </c>
      <c r="B454" t="s">
        <v>1243</v>
      </c>
      <c r="C454" t="s">
        <v>1244</v>
      </c>
      <c r="D454" t="s">
        <v>46</v>
      </c>
      <c r="E454" t="s">
        <v>74</v>
      </c>
      <c r="F454" t="s">
        <v>75</v>
      </c>
      <c r="G454">
        <v>5</v>
      </c>
      <c r="H454">
        <v>6.26</v>
      </c>
      <c r="I454">
        <v>31.3</v>
      </c>
      <c r="J454">
        <v>14.76</v>
      </c>
      <c r="K454">
        <v>16.54</v>
      </c>
      <c r="L454" t="s">
        <v>53</v>
      </c>
      <c r="M454" t="s">
        <v>54</v>
      </c>
      <c r="N454" t="s">
        <v>368</v>
      </c>
    </row>
    <row r="455" spans="1:14">
      <c r="A455" t="s">
        <v>1245</v>
      </c>
      <c r="B455" t="s">
        <v>855</v>
      </c>
      <c r="C455" t="s">
        <v>556</v>
      </c>
      <c r="D455" t="s">
        <v>52</v>
      </c>
      <c r="E455" t="s">
        <v>34</v>
      </c>
      <c r="F455" t="s">
        <v>59</v>
      </c>
      <c r="G455">
        <v>2</v>
      </c>
      <c r="H455">
        <v>7.21</v>
      </c>
      <c r="I455">
        <v>14.42</v>
      </c>
      <c r="J455">
        <v>9.04</v>
      </c>
      <c r="K455">
        <v>5.38</v>
      </c>
      <c r="L455" t="s">
        <v>36</v>
      </c>
      <c r="M455" t="s">
        <v>21</v>
      </c>
      <c r="N455" t="s">
        <v>111</v>
      </c>
    </row>
    <row r="456" spans="1:14">
      <c r="A456" t="s">
        <v>1246</v>
      </c>
      <c r="B456" t="s">
        <v>1247</v>
      </c>
      <c r="C456" t="s">
        <v>1248</v>
      </c>
      <c r="D456" t="s">
        <v>17</v>
      </c>
      <c r="E456" t="s">
        <v>74</v>
      </c>
      <c r="F456" t="s">
        <v>92</v>
      </c>
      <c r="G456">
        <v>5</v>
      </c>
      <c r="H456">
        <v>5.67</v>
      </c>
      <c r="I456">
        <v>28.35</v>
      </c>
      <c r="J456">
        <v>18.27</v>
      </c>
      <c r="K456">
        <v>10.08</v>
      </c>
      <c r="L456" t="s">
        <v>53</v>
      </c>
      <c r="M456" t="s">
        <v>54</v>
      </c>
      <c r="N456" t="s">
        <v>1118</v>
      </c>
    </row>
    <row r="457" spans="1:14">
      <c r="A457" t="s">
        <v>1249</v>
      </c>
      <c r="B457" t="s">
        <v>992</v>
      </c>
      <c r="C457" t="s">
        <v>1250</v>
      </c>
      <c r="D457" t="s">
        <v>52</v>
      </c>
      <c r="E457" t="s">
        <v>34</v>
      </c>
      <c r="F457" t="s">
        <v>59</v>
      </c>
      <c r="G457">
        <v>1</v>
      </c>
      <c r="H457">
        <v>7.9</v>
      </c>
      <c r="I457">
        <v>7.9</v>
      </c>
      <c r="J457">
        <v>3.73</v>
      </c>
      <c r="K457">
        <v>4.17</v>
      </c>
      <c r="L457" t="s">
        <v>60</v>
      </c>
      <c r="M457" t="s">
        <v>29</v>
      </c>
      <c r="N457" t="s">
        <v>93</v>
      </c>
    </row>
    <row r="458" spans="1:14">
      <c r="A458" t="s">
        <v>1251</v>
      </c>
      <c r="B458" t="s">
        <v>283</v>
      </c>
      <c r="C458" t="s">
        <v>1252</v>
      </c>
      <c r="D458" t="s">
        <v>26</v>
      </c>
      <c r="E458" t="s">
        <v>18</v>
      </c>
      <c r="F458" t="s">
        <v>146</v>
      </c>
      <c r="G458">
        <v>5</v>
      </c>
      <c r="H458">
        <v>5.87</v>
      </c>
      <c r="I458">
        <v>29.35</v>
      </c>
      <c r="J458">
        <v>20.3</v>
      </c>
      <c r="K458">
        <v>9.05</v>
      </c>
      <c r="L458" t="s">
        <v>60</v>
      </c>
      <c r="M458" t="s">
        <v>54</v>
      </c>
      <c r="N458" t="s">
        <v>862</v>
      </c>
    </row>
    <row r="459" spans="1:14">
      <c r="A459" t="s">
        <v>1253</v>
      </c>
      <c r="B459" t="s">
        <v>269</v>
      </c>
      <c r="C459" t="s">
        <v>1030</v>
      </c>
      <c r="D459" t="s">
        <v>17</v>
      </c>
      <c r="E459" t="s">
        <v>74</v>
      </c>
      <c r="F459" t="s">
        <v>92</v>
      </c>
      <c r="G459">
        <v>4</v>
      </c>
      <c r="H459">
        <v>4.94</v>
      </c>
      <c r="I459">
        <v>19.76</v>
      </c>
      <c r="J459">
        <v>9.45</v>
      </c>
      <c r="K459">
        <v>10.31</v>
      </c>
      <c r="L459" t="s">
        <v>20</v>
      </c>
      <c r="M459" t="s">
        <v>54</v>
      </c>
      <c r="N459" t="s">
        <v>580</v>
      </c>
    </row>
    <row r="460" spans="1:14">
      <c r="A460" t="s">
        <v>1254</v>
      </c>
      <c r="B460" t="s">
        <v>1075</v>
      </c>
      <c r="C460" t="s">
        <v>646</v>
      </c>
      <c r="D460" t="s">
        <v>52</v>
      </c>
      <c r="E460" t="s">
        <v>18</v>
      </c>
      <c r="F460" t="s">
        <v>41</v>
      </c>
      <c r="G460">
        <v>2</v>
      </c>
      <c r="H460">
        <v>6.42</v>
      </c>
      <c r="I460">
        <v>12.84</v>
      </c>
      <c r="J460">
        <v>8.4</v>
      </c>
      <c r="K460">
        <v>4.44</v>
      </c>
      <c r="L460" t="s">
        <v>53</v>
      </c>
      <c r="M460" t="s">
        <v>21</v>
      </c>
      <c r="N460" t="s">
        <v>744</v>
      </c>
    </row>
    <row r="461" spans="1:14">
      <c r="A461" t="s">
        <v>1255</v>
      </c>
      <c r="B461" t="s">
        <v>681</v>
      </c>
      <c r="C461" t="s">
        <v>1256</v>
      </c>
      <c r="D461" t="s">
        <v>26</v>
      </c>
      <c r="E461" t="s">
        <v>74</v>
      </c>
      <c r="F461" t="s">
        <v>75</v>
      </c>
      <c r="G461">
        <v>1</v>
      </c>
      <c r="H461">
        <v>6.21</v>
      </c>
      <c r="I461">
        <v>6.21</v>
      </c>
      <c r="J461">
        <v>3.68</v>
      </c>
      <c r="K461">
        <v>2.53</v>
      </c>
      <c r="L461" t="s">
        <v>20</v>
      </c>
      <c r="M461" t="s">
        <v>21</v>
      </c>
      <c r="N461" t="s">
        <v>384</v>
      </c>
    </row>
    <row r="462" spans="1:14">
      <c r="A462" t="s">
        <v>1257</v>
      </c>
      <c r="B462" t="s">
        <v>499</v>
      </c>
      <c r="C462" t="s">
        <v>1258</v>
      </c>
      <c r="D462" t="s">
        <v>17</v>
      </c>
      <c r="E462" t="s">
        <v>34</v>
      </c>
      <c r="F462" t="s">
        <v>135</v>
      </c>
      <c r="G462">
        <v>2</v>
      </c>
      <c r="H462">
        <v>3.48</v>
      </c>
      <c r="I462">
        <v>6.96</v>
      </c>
      <c r="J462">
        <v>4.58</v>
      </c>
      <c r="K462">
        <v>2.38</v>
      </c>
      <c r="L462" t="s">
        <v>20</v>
      </c>
      <c r="M462" t="s">
        <v>21</v>
      </c>
      <c r="N462" t="s">
        <v>401</v>
      </c>
    </row>
    <row r="463" spans="1:14">
      <c r="A463" t="s">
        <v>1259</v>
      </c>
      <c r="B463" t="s">
        <v>673</v>
      </c>
      <c r="C463" t="s">
        <v>503</v>
      </c>
      <c r="D463" t="s">
        <v>69</v>
      </c>
      <c r="E463" t="s">
        <v>27</v>
      </c>
      <c r="F463" t="s">
        <v>70</v>
      </c>
      <c r="G463">
        <v>5</v>
      </c>
      <c r="H463">
        <v>4.8</v>
      </c>
      <c r="I463">
        <v>24</v>
      </c>
      <c r="J463">
        <v>12.05</v>
      </c>
      <c r="K463">
        <v>11.95</v>
      </c>
      <c r="L463" t="s">
        <v>36</v>
      </c>
      <c r="M463" t="s">
        <v>54</v>
      </c>
      <c r="N463" t="s">
        <v>451</v>
      </c>
    </row>
    <row r="464" spans="1:14">
      <c r="A464" t="s">
        <v>1260</v>
      </c>
      <c r="B464" t="s">
        <v>1261</v>
      </c>
      <c r="C464" t="s">
        <v>763</v>
      </c>
      <c r="D464" t="s">
        <v>17</v>
      </c>
      <c r="E464" t="s">
        <v>74</v>
      </c>
      <c r="F464" t="s">
        <v>83</v>
      </c>
      <c r="G464">
        <v>5</v>
      </c>
      <c r="H464">
        <v>2.8</v>
      </c>
      <c r="I464">
        <v>14</v>
      </c>
      <c r="J464">
        <v>9.08</v>
      </c>
      <c r="K464">
        <v>4.92</v>
      </c>
      <c r="L464" t="s">
        <v>60</v>
      </c>
      <c r="M464" t="s">
        <v>21</v>
      </c>
      <c r="N464" t="s">
        <v>862</v>
      </c>
    </row>
    <row r="465" spans="1:14">
      <c r="A465" t="s">
        <v>1262</v>
      </c>
      <c r="B465" t="s">
        <v>848</v>
      </c>
      <c r="C465" t="s">
        <v>1263</v>
      </c>
      <c r="D465" t="s">
        <v>26</v>
      </c>
      <c r="E465" t="s">
        <v>18</v>
      </c>
      <c r="F465" t="s">
        <v>19</v>
      </c>
      <c r="G465">
        <v>5</v>
      </c>
      <c r="H465">
        <v>6.78</v>
      </c>
      <c r="I465">
        <v>33.9</v>
      </c>
      <c r="J465">
        <v>21.05</v>
      </c>
      <c r="K465">
        <v>12.85</v>
      </c>
      <c r="L465" t="s">
        <v>60</v>
      </c>
      <c r="M465" t="s">
        <v>29</v>
      </c>
      <c r="N465" t="s">
        <v>744</v>
      </c>
    </row>
    <row r="466" spans="1:14">
      <c r="A466" t="s">
        <v>1264</v>
      </c>
      <c r="B466" t="s">
        <v>1265</v>
      </c>
      <c r="C466" t="s">
        <v>1266</v>
      </c>
      <c r="D466" t="s">
        <v>46</v>
      </c>
      <c r="E466" t="s">
        <v>74</v>
      </c>
      <c r="F466" t="s">
        <v>83</v>
      </c>
      <c r="G466">
        <v>3</v>
      </c>
      <c r="H466">
        <v>2.91</v>
      </c>
      <c r="I466">
        <v>8.73</v>
      </c>
      <c r="J466">
        <v>5.5</v>
      </c>
      <c r="K466">
        <v>3.23</v>
      </c>
      <c r="L466" t="s">
        <v>60</v>
      </c>
      <c r="M466" t="s">
        <v>54</v>
      </c>
      <c r="N466" t="s">
        <v>278</v>
      </c>
    </row>
    <row r="467" spans="1:14">
      <c r="A467" t="s">
        <v>1267</v>
      </c>
      <c r="B467" t="s">
        <v>123</v>
      </c>
      <c r="C467" t="s">
        <v>1268</v>
      </c>
      <c r="D467" t="s">
        <v>46</v>
      </c>
      <c r="E467" t="s">
        <v>18</v>
      </c>
      <c r="F467" t="s">
        <v>146</v>
      </c>
      <c r="G467">
        <v>5</v>
      </c>
      <c r="H467">
        <v>2.58</v>
      </c>
      <c r="I467">
        <v>12.9</v>
      </c>
      <c r="J467">
        <v>7.32</v>
      </c>
      <c r="K467">
        <v>5.58</v>
      </c>
      <c r="L467" t="s">
        <v>36</v>
      </c>
      <c r="M467" t="s">
        <v>29</v>
      </c>
      <c r="N467" t="s">
        <v>451</v>
      </c>
    </row>
    <row r="468" spans="1:14">
      <c r="A468" t="s">
        <v>1269</v>
      </c>
      <c r="B468" t="s">
        <v>113</v>
      </c>
      <c r="C468" t="s">
        <v>923</v>
      </c>
      <c r="D468" t="s">
        <v>46</v>
      </c>
      <c r="E468" t="s">
        <v>74</v>
      </c>
      <c r="F468" t="s">
        <v>92</v>
      </c>
      <c r="G468">
        <v>4</v>
      </c>
      <c r="H468">
        <v>7.29</v>
      </c>
      <c r="I468">
        <v>29.16</v>
      </c>
      <c r="J468">
        <v>19.7</v>
      </c>
      <c r="K468">
        <v>9.46</v>
      </c>
      <c r="L468" t="s">
        <v>20</v>
      </c>
      <c r="M468" t="s">
        <v>29</v>
      </c>
      <c r="N468" t="s">
        <v>257</v>
      </c>
    </row>
    <row r="469" spans="1:14">
      <c r="A469" t="s">
        <v>1270</v>
      </c>
      <c r="B469" t="s">
        <v>280</v>
      </c>
      <c r="C469" t="s">
        <v>1271</v>
      </c>
      <c r="D469" t="s">
        <v>69</v>
      </c>
      <c r="E469" t="s">
        <v>74</v>
      </c>
      <c r="F469" t="s">
        <v>75</v>
      </c>
      <c r="G469">
        <v>3</v>
      </c>
      <c r="H469">
        <v>7.35</v>
      </c>
      <c r="I469">
        <v>22.05</v>
      </c>
      <c r="J469">
        <v>10.64</v>
      </c>
      <c r="K469">
        <v>11.41</v>
      </c>
      <c r="L469" t="s">
        <v>53</v>
      </c>
      <c r="M469" t="s">
        <v>54</v>
      </c>
      <c r="N469" t="s">
        <v>466</v>
      </c>
    </row>
    <row r="470" spans="1:14">
      <c r="A470" t="s">
        <v>1272</v>
      </c>
      <c r="B470" t="s">
        <v>301</v>
      </c>
      <c r="C470" t="s">
        <v>1273</v>
      </c>
      <c r="D470" t="s">
        <v>69</v>
      </c>
      <c r="E470" t="s">
        <v>18</v>
      </c>
      <c r="F470" t="s">
        <v>146</v>
      </c>
      <c r="G470">
        <v>2</v>
      </c>
      <c r="H470">
        <v>3.94</v>
      </c>
      <c r="I470">
        <v>7.88</v>
      </c>
      <c r="J470">
        <v>4.61</v>
      </c>
      <c r="K470">
        <v>3.27</v>
      </c>
      <c r="L470" t="s">
        <v>36</v>
      </c>
      <c r="M470" t="s">
        <v>29</v>
      </c>
      <c r="N470" t="s">
        <v>177</v>
      </c>
    </row>
    <row r="471" spans="1:14">
      <c r="A471" t="s">
        <v>1274</v>
      </c>
      <c r="B471" t="s">
        <v>1275</v>
      </c>
      <c r="C471" t="s">
        <v>1238</v>
      </c>
      <c r="D471" t="s">
        <v>46</v>
      </c>
      <c r="E471" t="s">
        <v>34</v>
      </c>
      <c r="F471" t="s">
        <v>135</v>
      </c>
      <c r="G471">
        <v>3</v>
      </c>
      <c r="H471">
        <v>3.41</v>
      </c>
      <c r="I471">
        <v>10.23</v>
      </c>
      <c r="J471">
        <v>4.94</v>
      </c>
      <c r="K471">
        <v>5.29</v>
      </c>
      <c r="L471" t="s">
        <v>36</v>
      </c>
      <c r="M471" t="s">
        <v>54</v>
      </c>
      <c r="N471" t="s">
        <v>580</v>
      </c>
    </row>
    <row r="472" spans="1:14">
      <c r="A472" t="s">
        <v>1276</v>
      </c>
      <c r="B472" t="s">
        <v>244</v>
      </c>
      <c r="C472" t="s">
        <v>1277</v>
      </c>
      <c r="D472" t="s">
        <v>17</v>
      </c>
      <c r="E472" t="s">
        <v>34</v>
      </c>
      <c r="F472" t="s">
        <v>130</v>
      </c>
      <c r="G472">
        <v>2</v>
      </c>
      <c r="H472">
        <v>5.64</v>
      </c>
      <c r="I472">
        <v>11.28</v>
      </c>
      <c r="J472">
        <v>6.35</v>
      </c>
      <c r="K472">
        <v>4.93</v>
      </c>
      <c r="L472" t="s">
        <v>60</v>
      </c>
      <c r="M472" t="s">
        <v>29</v>
      </c>
      <c r="N472" t="s">
        <v>599</v>
      </c>
    </row>
    <row r="473" spans="1:14">
      <c r="A473" t="s">
        <v>1278</v>
      </c>
      <c r="B473" t="s">
        <v>1279</v>
      </c>
      <c r="C473" t="s">
        <v>1280</v>
      </c>
      <c r="D473" t="s">
        <v>17</v>
      </c>
      <c r="E473" t="s">
        <v>34</v>
      </c>
      <c r="F473" t="s">
        <v>130</v>
      </c>
      <c r="G473">
        <v>5</v>
      </c>
      <c r="H473">
        <v>5.92</v>
      </c>
      <c r="I473">
        <v>29.6</v>
      </c>
      <c r="J473">
        <v>14.71</v>
      </c>
      <c r="K473">
        <v>14.89</v>
      </c>
      <c r="L473" t="s">
        <v>20</v>
      </c>
      <c r="M473" t="s">
        <v>54</v>
      </c>
      <c r="N473" t="s">
        <v>534</v>
      </c>
    </row>
    <row r="474" spans="1:14">
      <c r="A474" t="s">
        <v>1281</v>
      </c>
      <c r="B474" t="s">
        <v>733</v>
      </c>
      <c r="C474" t="s">
        <v>58</v>
      </c>
      <c r="D474" t="s">
        <v>52</v>
      </c>
      <c r="E474" t="s">
        <v>34</v>
      </c>
      <c r="F474" t="s">
        <v>35</v>
      </c>
      <c r="G474">
        <v>5</v>
      </c>
      <c r="H474">
        <v>6.83</v>
      </c>
      <c r="I474">
        <v>34.15</v>
      </c>
      <c r="J474">
        <v>20.2</v>
      </c>
      <c r="K474">
        <v>13.95</v>
      </c>
      <c r="L474" t="s">
        <v>53</v>
      </c>
      <c r="M474" t="s">
        <v>54</v>
      </c>
      <c r="N474" t="s">
        <v>397</v>
      </c>
    </row>
    <row r="475" spans="1:14">
      <c r="A475" t="s">
        <v>1282</v>
      </c>
      <c r="B475" t="s">
        <v>523</v>
      </c>
      <c r="C475" t="s">
        <v>1283</v>
      </c>
      <c r="D475" t="s">
        <v>26</v>
      </c>
      <c r="E475" t="s">
        <v>34</v>
      </c>
      <c r="F475" t="s">
        <v>47</v>
      </c>
      <c r="G475">
        <v>3</v>
      </c>
      <c r="H475">
        <v>4.37</v>
      </c>
      <c r="I475">
        <v>13.11</v>
      </c>
      <c r="J475">
        <v>7.54</v>
      </c>
      <c r="K475">
        <v>5.57</v>
      </c>
      <c r="L475" t="s">
        <v>36</v>
      </c>
      <c r="M475" t="s">
        <v>21</v>
      </c>
      <c r="N475" t="s">
        <v>599</v>
      </c>
    </row>
    <row r="476" spans="1:14">
      <c r="A476" t="s">
        <v>1284</v>
      </c>
      <c r="B476" t="s">
        <v>582</v>
      </c>
      <c r="C476" t="s">
        <v>1285</v>
      </c>
      <c r="D476" t="s">
        <v>46</v>
      </c>
      <c r="E476" t="s">
        <v>74</v>
      </c>
      <c r="F476" t="s">
        <v>75</v>
      </c>
      <c r="G476">
        <v>3</v>
      </c>
      <c r="H476">
        <v>5.84</v>
      </c>
      <c r="I476">
        <v>17.52</v>
      </c>
      <c r="J476">
        <v>12.14</v>
      </c>
      <c r="K476">
        <v>5.38</v>
      </c>
      <c r="L476" t="s">
        <v>53</v>
      </c>
      <c r="M476" t="s">
        <v>54</v>
      </c>
      <c r="N476" t="s">
        <v>401</v>
      </c>
    </row>
    <row r="477" spans="1:14">
      <c r="A477" t="s">
        <v>1286</v>
      </c>
      <c r="B477" t="s">
        <v>1261</v>
      </c>
      <c r="C477" t="s">
        <v>818</v>
      </c>
      <c r="D477" t="s">
        <v>46</v>
      </c>
      <c r="E477" t="s">
        <v>18</v>
      </c>
      <c r="F477" t="s">
        <v>41</v>
      </c>
      <c r="G477">
        <v>5</v>
      </c>
      <c r="H477">
        <v>5.55</v>
      </c>
      <c r="I477">
        <v>27.75</v>
      </c>
      <c r="J477">
        <v>13.64</v>
      </c>
      <c r="K477">
        <v>14.11</v>
      </c>
      <c r="L477" t="s">
        <v>53</v>
      </c>
      <c r="M477" t="s">
        <v>54</v>
      </c>
      <c r="N477" t="s">
        <v>187</v>
      </c>
    </row>
    <row r="478" spans="1:14">
      <c r="A478" t="s">
        <v>1287</v>
      </c>
      <c r="B478" t="s">
        <v>1288</v>
      </c>
      <c r="C478" t="s">
        <v>1289</v>
      </c>
      <c r="D478" t="s">
        <v>46</v>
      </c>
      <c r="E478" t="s">
        <v>34</v>
      </c>
      <c r="F478" t="s">
        <v>130</v>
      </c>
      <c r="G478">
        <v>2</v>
      </c>
      <c r="H478">
        <v>6.2</v>
      </c>
      <c r="I478">
        <v>12.4</v>
      </c>
      <c r="J478">
        <v>6.24</v>
      </c>
      <c r="K478">
        <v>6.16</v>
      </c>
      <c r="L478" t="s">
        <v>36</v>
      </c>
      <c r="M478" t="s">
        <v>29</v>
      </c>
      <c r="N478" t="s">
        <v>794</v>
      </c>
    </row>
    <row r="479" spans="1:14">
      <c r="A479" t="s">
        <v>1290</v>
      </c>
      <c r="B479" t="s">
        <v>1291</v>
      </c>
      <c r="C479" t="s">
        <v>1292</v>
      </c>
      <c r="D479" t="s">
        <v>52</v>
      </c>
      <c r="E479" t="s">
        <v>74</v>
      </c>
      <c r="F479" t="s">
        <v>75</v>
      </c>
      <c r="G479">
        <v>2</v>
      </c>
      <c r="H479">
        <v>6.51</v>
      </c>
      <c r="I479">
        <v>13.02</v>
      </c>
      <c r="J479">
        <v>7.65</v>
      </c>
      <c r="K479">
        <v>5.37</v>
      </c>
      <c r="L479" t="s">
        <v>36</v>
      </c>
      <c r="M479" t="s">
        <v>29</v>
      </c>
      <c r="N479" t="s">
        <v>287</v>
      </c>
    </row>
    <row r="480" spans="1:14">
      <c r="A480" t="s">
        <v>1293</v>
      </c>
      <c r="B480" t="s">
        <v>443</v>
      </c>
      <c r="C480" t="s">
        <v>1294</v>
      </c>
      <c r="D480" t="s">
        <v>52</v>
      </c>
      <c r="E480" t="s">
        <v>18</v>
      </c>
      <c r="F480" t="s">
        <v>146</v>
      </c>
      <c r="G480">
        <v>3</v>
      </c>
      <c r="H480">
        <v>6.48</v>
      </c>
      <c r="I480">
        <v>19.44</v>
      </c>
      <c r="J480">
        <v>11.82</v>
      </c>
      <c r="K480">
        <v>7.62</v>
      </c>
      <c r="L480" t="s">
        <v>36</v>
      </c>
      <c r="M480" t="s">
        <v>29</v>
      </c>
      <c r="N480" t="s">
        <v>88</v>
      </c>
    </row>
    <row r="481" spans="1:14">
      <c r="A481" t="s">
        <v>1295</v>
      </c>
      <c r="B481" t="s">
        <v>276</v>
      </c>
      <c r="C481" t="s">
        <v>1296</v>
      </c>
      <c r="D481" t="s">
        <v>17</v>
      </c>
      <c r="E481" t="s">
        <v>34</v>
      </c>
      <c r="F481" t="s">
        <v>47</v>
      </c>
      <c r="G481">
        <v>1</v>
      </c>
      <c r="H481">
        <v>4.86</v>
      </c>
      <c r="I481">
        <v>4.86</v>
      </c>
      <c r="J481">
        <v>3.24</v>
      </c>
      <c r="K481">
        <v>1.62</v>
      </c>
      <c r="L481" t="s">
        <v>60</v>
      </c>
      <c r="M481" t="s">
        <v>21</v>
      </c>
      <c r="N481" t="s">
        <v>410</v>
      </c>
    </row>
    <row r="482" spans="1:14">
      <c r="A482" t="s">
        <v>1297</v>
      </c>
      <c r="B482" t="s">
        <v>32</v>
      </c>
      <c r="C482" t="s">
        <v>1130</v>
      </c>
      <c r="D482" t="s">
        <v>52</v>
      </c>
      <c r="E482" t="s">
        <v>18</v>
      </c>
      <c r="F482" t="s">
        <v>19</v>
      </c>
      <c r="G482">
        <v>4</v>
      </c>
      <c r="H482">
        <v>4.17</v>
      </c>
      <c r="I482">
        <v>16.68</v>
      </c>
      <c r="J482">
        <v>10.18</v>
      </c>
      <c r="K482">
        <v>6.5</v>
      </c>
      <c r="L482" t="s">
        <v>20</v>
      </c>
      <c r="M482" t="s">
        <v>21</v>
      </c>
      <c r="N482" t="s">
        <v>30</v>
      </c>
    </row>
    <row r="483" spans="1:14">
      <c r="A483" t="s">
        <v>1298</v>
      </c>
      <c r="B483" t="s">
        <v>250</v>
      </c>
      <c r="C483" t="s">
        <v>803</v>
      </c>
      <c r="D483" t="s">
        <v>52</v>
      </c>
      <c r="E483" t="s">
        <v>18</v>
      </c>
      <c r="F483" t="s">
        <v>146</v>
      </c>
      <c r="G483">
        <v>4</v>
      </c>
      <c r="H483">
        <v>7.01</v>
      </c>
      <c r="I483">
        <v>28.04</v>
      </c>
      <c r="J483">
        <v>15.14</v>
      </c>
      <c r="K483">
        <v>12.9</v>
      </c>
      <c r="L483" t="s">
        <v>20</v>
      </c>
      <c r="M483" t="s">
        <v>54</v>
      </c>
      <c r="N483" t="s">
        <v>48</v>
      </c>
    </row>
    <row r="484" spans="1:14">
      <c r="A484" t="s">
        <v>1299</v>
      </c>
      <c r="B484" t="s">
        <v>1300</v>
      </c>
      <c r="C484" t="s">
        <v>1301</v>
      </c>
      <c r="D484" t="s">
        <v>17</v>
      </c>
      <c r="E484" t="s">
        <v>18</v>
      </c>
      <c r="F484" t="s">
        <v>19</v>
      </c>
      <c r="G484">
        <v>2</v>
      </c>
      <c r="H484">
        <v>5.16</v>
      </c>
      <c r="I484">
        <v>10.32</v>
      </c>
      <c r="J484">
        <v>5.63</v>
      </c>
      <c r="K484">
        <v>4.69</v>
      </c>
      <c r="L484" t="s">
        <v>60</v>
      </c>
      <c r="M484" t="s">
        <v>21</v>
      </c>
      <c r="N484" t="s">
        <v>381</v>
      </c>
    </row>
    <row r="485" spans="1:14">
      <c r="A485" t="s">
        <v>1302</v>
      </c>
      <c r="B485" t="s">
        <v>1303</v>
      </c>
      <c r="C485" t="s">
        <v>1304</v>
      </c>
      <c r="D485" t="s">
        <v>26</v>
      </c>
      <c r="E485" t="s">
        <v>18</v>
      </c>
      <c r="F485" t="s">
        <v>146</v>
      </c>
      <c r="G485">
        <v>3</v>
      </c>
      <c r="H485">
        <v>7.05</v>
      </c>
      <c r="I485">
        <v>21.15</v>
      </c>
      <c r="J485">
        <v>14.24</v>
      </c>
      <c r="K485">
        <v>6.91</v>
      </c>
      <c r="L485" t="s">
        <v>60</v>
      </c>
      <c r="M485" t="s">
        <v>29</v>
      </c>
      <c r="N485" t="s">
        <v>230</v>
      </c>
    </row>
    <row r="486" spans="1:14">
      <c r="A486" t="s">
        <v>1305</v>
      </c>
      <c r="B486" t="s">
        <v>852</v>
      </c>
      <c r="C486" t="s">
        <v>1250</v>
      </c>
      <c r="D486" t="s">
        <v>69</v>
      </c>
      <c r="E486" t="s">
        <v>18</v>
      </c>
      <c r="F486" t="s">
        <v>41</v>
      </c>
      <c r="G486">
        <v>3</v>
      </c>
      <c r="H486">
        <v>2.72</v>
      </c>
      <c r="I486">
        <v>8.16</v>
      </c>
      <c r="J486">
        <v>4.78</v>
      </c>
      <c r="K486">
        <v>3.38</v>
      </c>
      <c r="L486" t="s">
        <v>20</v>
      </c>
      <c r="M486" t="s">
        <v>21</v>
      </c>
      <c r="N486" t="s">
        <v>470</v>
      </c>
    </row>
    <row r="487" spans="1:14">
      <c r="A487" t="s">
        <v>1306</v>
      </c>
      <c r="B487" t="s">
        <v>532</v>
      </c>
      <c r="C487" t="s">
        <v>1307</v>
      </c>
      <c r="D487" t="s">
        <v>52</v>
      </c>
      <c r="E487" t="s">
        <v>34</v>
      </c>
      <c r="F487" t="s">
        <v>130</v>
      </c>
      <c r="G487">
        <v>1</v>
      </c>
      <c r="H487">
        <v>7.14</v>
      </c>
      <c r="I487">
        <v>7.14</v>
      </c>
      <c r="J487">
        <v>4.7</v>
      </c>
      <c r="K487">
        <v>2.44</v>
      </c>
      <c r="L487" t="s">
        <v>36</v>
      </c>
      <c r="M487" t="s">
        <v>29</v>
      </c>
      <c r="N487" t="s">
        <v>401</v>
      </c>
    </row>
    <row r="488" spans="1:14">
      <c r="A488" t="s">
        <v>1308</v>
      </c>
      <c r="B488" t="s">
        <v>433</v>
      </c>
      <c r="C488" t="s">
        <v>277</v>
      </c>
      <c r="D488" t="s">
        <v>69</v>
      </c>
      <c r="E488" t="s">
        <v>18</v>
      </c>
      <c r="F488" t="s">
        <v>19</v>
      </c>
      <c r="G488">
        <v>3</v>
      </c>
      <c r="H488">
        <v>6.7</v>
      </c>
      <c r="I488">
        <v>20.1</v>
      </c>
      <c r="J488">
        <v>13.94</v>
      </c>
      <c r="K488">
        <v>6.16</v>
      </c>
      <c r="L488" t="s">
        <v>60</v>
      </c>
      <c r="M488" t="s">
        <v>54</v>
      </c>
      <c r="N488" t="s">
        <v>165</v>
      </c>
    </row>
    <row r="489" spans="1:14">
      <c r="A489" t="s">
        <v>1309</v>
      </c>
      <c r="B489" t="s">
        <v>339</v>
      </c>
      <c r="C489" t="s">
        <v>1310</v>
      </c>
      <c r="D489" t="s">
        <v>52</v>
      </c>
      <c r="E489" t="s">
        <v>27</v>
      </c>
      <c r="F489" t="s">
        <v>28</v>
      </c>
      <c r="G489">
        <v>3</v>
      </c>
      <c r="H489">
        <v>6.71</v>
      </c>
      <c r="I489">
        <v>20.13</v>
      </c>
      <c r="J489">
        <v>12.93</v>
      </c>
      <c r="K489">
        <v>7.2</v>
      </c>
      <c r="L489" t="s">
        <v>60</v>
      </c>
      <c r="M489" t="s">
        <v>21</v>
      </c>
      <c r="N489" t="s">
        <v>915</v>
      </c>
    </row>
    <row r="490" spans="1:14">
      <c r="A490" t="s">
        <v>1311</v>
      </c>
      <c r="B490" t="s">
        <v>701</v>
      </c>
      <c r="C490" t="s">
        <v>1312</v>
      </c>
      <c r="D490" t="s">
        <v>26</v>
      </c>
      <c r="E490" t="s">
        <v>34</v>
      </c>
      <c r="F490" t="s">
        <v>35</v>
      </c>
      <c r="G490">
        <v>1</v>
      </c>
      <c r="H490">
        <v>5.83</v>
      </c>
      <c r="I490">
        <v>5.83</v>
      </c>
      <c r="J490">
        <v>2.68</v>
      </c>
      <c r="K490">
        <v>3.15</v>
      </c>
      <c r="L490" t="s">
        <v>20</v>
      </c>
      <c r="M490" t="s">
        <v>29</v>
      </c>
      <c r="N490" t="s">
        <v>1118</v>
      </c>
    </row>
    <row r="491" spans="1:14">
      <c r="A491" t="s">
        <v>1313</v>
      </c>
      <c r="B491" t="s">
        <v>405</v>
      </c>
      <c r="C491" t="s">
        <v>215</v>
      </c>
      <c r="D491" t="s">
        <v>69</v>
      </c>
      <c r="E491" t="s">
        <v>74</v>
      </c>
      <c r="F491" t="s">
        <v>75</v>
      </c>
      <c r="G491">
        <v>3</v>
      </c>
      <c r="H491">
        <v>4.98</v>
      </c>
      <c r="I491">
        <v>14.94</v>
      </c>
      <c r="J491">
        <v>9</v>
      </c>
      <c r="K491">
        <v>5.94</v>
      </c>
      <c r="L491" t="s">
        <v>36</v>
      </c>
      <c r="M491" t="s">
        <v>21</v>
      </c>
      <c r="N491" t="s">
        <v>507</v>
      </c>
    </row>
    <row r="492" spans="1:14">
      <c r="A492" t="s">
        <v>1314</v>
      </c>
      <c r="B492" t="s">
        <v>1315</v>
      </c>
      <c r="C492" t="s">
        <v>714</v>
      </c>
      <c r="D492" t="s">
        <v>26</v>
      </c>
      <c r="E492" t="s">
        <v>74</v>
      </c>
      <c r="F492" t="s">
        <v>83</v>
      </c>
      <c r="G492">
        <v>5</v>
      </c>
      <c r="H492">
        <v>6.31</v>
      </c>
      <c r="I492">
        <v>31.55</v>
      </c>
      <c r="J492">
        <v>16.6</v>
      </c>
      <c r="K492">
        <v>14.95</v>
      </c>
      <c r="L492" t="s">
        <v>20</v>
      </c>
      <c r="M492" t="s">
        <v>29</v>
      </c>
      <c r="N492" t="s">
        <v>114</v>
      </c>
    </row>
    <row r="493" spans="1:14">
      <c r="A493" t="s">
        <v>1316</v>
      </c>
      <c r="B493" t="s">
        <v>1193</v>
      </c>
      <c r="C493" t="s">
        <v>1317</v>
      </c>
      <c r="D493" t="s">
        <v>52</v>
      </c>
      <c r="E493" t="s">
        <v>74</v>
      </c>
      <c r="F493" t="s">
        <v>92</v>
      </c>
      <c r="G493">
        <v>5</v>
      </c>
      <c r="H493">
        <v>7.61</v>
      </c>
      <c r="I493">
        <v>38.05</v>
      </c>
      <c r="J493">
        <v>25.3</v>
      </c>
      <c r="K493">
        <v>12.75</v>
      </c>
      <c r="L493" t="s">
        <v>53</v>
      </c>
      <c r="M493" t="s">
        <v>54</v>
      </c>
      <c r="N493" t="s">
        <v>223</v>
      </c>
    </row>
    <row r="494" spans="1:14">
      <c r="A494" t="s">
        <v>1318</v>
      </c>
      <c r="B494" t="s">
        <v>1319</v>
      </c>
      <c r="C494" t="s">
        <v>1320</v>
      </c>
      <c r="D494" t="s">
        <v>52</v>
      </c>
      <c r="E494" t="s">
        <v>74</v>
      </c>
      <c r="F494" t="s">
        <v>92</v>
      </c>
      <c r="G494">
        <v>3</v>
      </c>
      <c r="H494">
        <v>6.42</v>
      </c>
      <c r="I494">
        <v>19.26</v>
      </c>
      <c r="J494">
        <v>11.79</v>
      </c>
      <c r="K494">
        <v>7.47</v>
      </c>
      <c r="L494" t="s">
        <v>60</v>
      </c>
      <c r="M494" t="s">
        <v>29</v>
      </c>
      <c r="N494" t="s">
        <v>352</v>
      </c>
    </row>
    <row r="495" spans="1:14">
      <c r="A495" t="s">
        <v>1321</v>
      </c>
      <c r="B495" t="s">
        <v>1193</v>
      </c>
      <c r="C495" t="s">
        <v>1322</v>
      </c>
      <c r="D495" t="s">
        <v>46</v>
      </c>
      <c r="E495" t="s">
        <v>18</v>
      </c>
      <c r="F495" t="s">
        <v>19</v>
      </c>
      <c r="G495">
        <v>4</v>
      </c>
      <c r="H495">
        <v>4.56</v>
      </c>
      <c r="I495">
        <v>18.24</v>
      </c>
      <c r="J495">
        <v>11.19</v>
      </c>
      <c r="K495">
        <v>7.05</v>
      </c>
      <c r="L495" t="s">
        <v>53</v>
      </c>
      <c r="M495" t="s">
        <v>21</v>
      </c>
      <c r="N495" t="s">
        <v>22</v>
      </c>
    </row>
    <row r="496" spans="1:14">
      <c r="A496" t="s">
        <v>1323</v>
      </c>
      <c r="B496" t="s">
        <v>1324</v>
      </c>
      <c r="C496" t="s">
        <v>1325</v>
      </c>
      <c r="D496" t="s">
        <v>52</v>
      </c>
      <c r="E496" t="s">
        <v>34</v>
      </c>
      <c r="F496" t="s">
        <v>59</v>
      </c>
      <c r="G496">
        <v>3</v>
      </c>
      <c r="H496">
        <v>3.08</v>
      </c>
      <c r="I496">
        <v>9.24</v>
      </c>
      <c r="J496">
        <v>4.43</v>
      </c>
      <c r="K496">
        <v>4.81</v>
      </c>
      <c r="L496" t="s">
        <v>60</v>
      </c>
      <c r="M496" t="s">
        <v>29</v>
      </c>
      <c r="N496" t="s">
        <v>322</v>
      </c>
    </row>
    <row r="497" spans="1:14">
      <c r="A497" t="s">
        <v>1326</v>
      </c>
      <c r="B497" t="s">
        <v>269</v>
      </c>
      <c r="C497" t="s">
        <v>637</v>
      </c>
      <c r="D497" t="s">
        <v>69</v>
      </c>
      <c r="E497" t="s">
        <v>74</v>
      </c>
      <c r="F497" t="s">
        <v>75</v>
      </c>
      <c r="G497">
        <v>2</v>
      </c>
      <c r="H497">
        <v>7.99</v>
      </c>
      <c r="I497">
        <v>15.98</v>
      </c>
      <c r="J497">
        <v>11.13</v>
      </c>
      <c r="K497">
        <v>4.85</v>
      </c>
      <c r="L497" t="s">
        <v>20</v>
      </c>
      <c r="M497" t="s">
        <v>54</v>
      </c>
      <c r="N497" t="s">
        <v>165</v>
      </c>
    </row>
    <row r="498" spans="1:14">
      <c r="A498" t="s">
        <v>1327</v>
      </c>
      <c r="B498" t="s">
        <v>1105</v>
      </c>
      <c r="C498" t="s">
        <v>1328</v>
      </c>
      <c r="D498" t="s">
        <v>69</v>
      </c>
      <c r="E498" t="s">
        <v>74</v>
      </c>
      <c r="F498" t="s">
        <v>75</v>
      </c>
      <c r="G498">
        <v>3</v>
      </c>
      <c r="H498">
        <v>5.66</v>
      </c>
      <c r="I498">
        <v>16.98</v>
      </c>
      <c r="J498">
        <v>9.83</v>
      </c>
      <c r="K498">
        <v>7.15</v>
      </c>
      <c r="L498" t="s">
        <v>36</v>
      </c>
      <c r="M498" t="s">
        <v>21</v>
      </c>
      <c r="N498" t="s">
        <v>497</v>
      </c>
    </row>
    <row r="499" spans="1:14">
      <c r="A499" t="s">
        <v>1329</v>
      </c>
      <c r="B499" t="s">
        <v>429</v>
      </c>
      <c r="C499" t="s">
        <v>117</v>
      </c>
      <c r="D499" t="s">
        <v>26</v>
      </c>
      <c r="E499" t="s">
        <v>34</v>
      </c>
      <c r="F499" t="s">
        <v>59</v>
      </c>
      <c r="G499">
        <v>5</v>
      </c>
      <c r="H499">
        <v>5.73</v>
      </c>
      <c r="I499">
        <v>28.65</v>
      </c>
      <c r="J499">
        <v>18.49</v>
      </c>
      <c r="K499">
        <v>10.16</v>
      </c>
      <c r="L499" t="s">
        <v>60</v>
      </c>
      <c r="M499" t="s">
        <v>21</v>
      </c>
      <c r="N499" t="s">
        <v>242</v>
      </c>
    </row>
    <row r="500" spans="1:14">
      <c r="A500" t="s">
        <v>1330</v>
      </c>
      <c r="B500" t="s">
        <v>240</v>
      </c>
      <c r="C500" t="s">
        <v>1331</v>
      </c>
      <c r="D500" t="s">
        <v>52</v>
      </c>
      <c r="E500" t="s">
        <v>34</v>
      </c>
      <c r="F500" t="s">
        <v>35</v>
      </c>
      <c r="G500">
        <v>5</v>
      </c>
      <c r="H500">
        <v>5.61</v>
      </c>
      <c r="I500">
        <v>28.05</v>
      </c>
      <c r="J500">
        <v>15.74</v>
      </c>
      <c r="K500">
        <v>12.31</v>
      </c>
      <c r="L500" t="s">
        <v>20</v>
      </c>
      <c r="M500" t="s">
        <v>29</v>
      </c>
      <c r="N500" t="s">
        <v>727</v>
      </c>
    </row>
    <row r="501" spans="1:14">
      <c r="A501" t="s">
        <v>1332</v>
      </c>
      <c r="B501" t="s">
        <v>528</v>
      </c>
      <c r="C501" t="s">
        <v>1333</v>
      </c>
      <c r="D501" t="s">
        <v>17</v>
      </c>
      <c r="E501" t="s">
        <v>34</v>
      </c>
      <c r="F501" t="s">
        <v>35</v>
      </c>
      <c r="G501">
        <v>3</v>
      </c>
      <c r="H501">
        <v>7.27</v>
      </c>
      <c r="I501">
        <v>21.81</v>
      </c>
      <c r="J501">
        <v>14.98</v>
      </c>
      <c r="K501">
        <v>6.83</v>
      </c>
      <c r="L501" t="s">
        <v>60</v>
      </c>
      <c r="M501" t="s">
        <v>29</v>
      </c>
      <c r="N501" t="s">
        <v>242</v>
      </c>
    </row>
    <row r="502" spans="1:14">
      <c r="A502" t="s">
        <v>1334</v>
      </c>
      <c r="B502" t="s">
        <v>532</v>
      </c>
      <c r="C502" t="s">
        <v>1335</v>
      </c>
      <c r="D502" t="s">
        <v>52</v>
      </c>
      <c r="E502" t="s">
        <v>74</v>
      </c>
      <c r="F502" t="s">
        <v>75</v>
      </c>
      <c r="G502">
        <v>4</v>
      </c>
      <c r="H502">
        <v>3.1</v>
      </c>
      <c r="I502">
        <v>12.4</v>
      </c>
      <c r="J502">
        <v>7.86</v>
      </c>
      <c r="K502">
        <v>4.54</v>
      </c>
      <c r="L502" t="s">
        <v>36</v>
      </c>
      <c r="M502" t="s">
        <v>29</v>
      </c>
      <c r="N502" t="s">
        <v>822</v>
      </c>
    </row>
    <row r="503" spans="1:14">
      <c r="A503" t="s">
        <v>1336</v>
      </c>
      <c r="B503" t="s">
        <v>336</v>
      </c>
      <c r="C503" t="s">
        <v>1337</v>
      </c>
      <c r="D503" t="s">
        <v>26</v>
      </c>
      <c r="E503" t="s">
        <v>18</v>
      </c>
      <c r="F503" t="s">
        <v>41</v>
      </c>
      <c r="G503">
        <v>5</v>
      </c>
      <c r="H503">
        <v>7.63</v>
      </c>
      <c r="I503">
        <v>38.15</v>
      </c>
      <c r="J503">
        <v>22.87</v>
      </c>
      <c r="K503">
        <v>15.28</v>
      </c>
      <c r="L503" t="s">
        <v>36</v>
      </c>
      <c r="M503" t="s">
        <v>54</v>
      </c>
      <c r="N503" t="s">
        <v>257</v>
      </c>
    </row>
    <row r="504" spans="1:14">
      <c r="A504" t="s">
        <v>1338</v>
      </c>
      <c r="B504" t="s">
        <v>342</v>
      </c>
      <c r="C504" t="s">
        <v>1339</v>
      </c>
      <c r="D504" t="s">
        <v>46</v>
      </c>
      <c r="E504" t="s">
        <v>27</v>
      </c>
      <c r="F504" t="s">
        <v>28</v>
      </c>
      <c r="G504">
        <v>2</v>
      </c>
      <c r="H504">
        <v>5.09</v>
      </c>
      <c r="I504">
        <v>10.18</v>
      </c>
      <c r="J504">
        <v>5.22</v>
      </c>
      <c r="K504">
        <v>4.96</v>
      </c>
      <c r="L504" t="s">
        <v>53</v>
      </c>
      <c r="M504" t="s">
        <v>21</v>
      </c>
      <c r="N504" t="s">
        <v>287</v>
      </c>
    </row>
    <row r="505" spans="1:14">
      <c r="A505" t="s">
        <v>1340</v>
      </c>
      <c r="B505" t="s">
        <v>664</v>
      </c>
      <c r="C505" t="s">
        <v>1341</v>
      </c>
      <c r="D505" t="s">
        <v>26</v>
      </c>
      <c r="E505" t="s">
        <v>34</v>
      </c>
      <c r="F505" t="s">
        <v>135</v>
      </c>
      <c r="G505">
        <v>3</v>
      </c>
      <c r="H505">
        <v>4.51</v>
      </c>
      <c r="I505">
        <v>13.53</v>
      </c>
      <c r="J505">
        <v>7.54</v>
      </c>
      <c r="K505">
        <v>5.99</v>
      </c>
      <c r="L505" t="s">
        <v>60</v>
      </c>
      <c r="M505" t="s">
        <v>29</v>
      </c>
      <c r="N505" t="s">
        <v>377</v>
      </c>
    </row>
    <row r="506" spans="1:14">
      <c r="A506" t="s">
        <v>1342</v>
      </c>
      <c r="B506" t="s">
        <v>292</v>
      </c>
      <c r="C506" t="s">
        <v>1343</v>
      </c>
      <c r="D506" t="s">
        <v>69</v>
      </c>
      <c r="E506" t="s">
        <v>27</v>
      </c>
      <c r="F506" t="s">
        <v>70</v>
      </c>
      <c r="G506">
        <v>2</v>
      </c>
      <c r="H506">
        <v>7.77</v>
      </c>
      <c r="I506">
        <v>15.54</v>
      </c>
      <c r="J506">
        <v>8.93</v>
      </c>
      <c r="K506">
        <v>6.61</v>
      </c>
      <c r="L506" t="s">
        <v>36</v>
      </c>
      <c r="M506" t="s">
        <v>29</v>
      </c>
      <c r="N506" t="s">
        <v>151</v>
      </c>
    </row>
    <row r="507" spans="1:14">
      <c r="A507" t="s">
        <v>1344</v>
      </c>
      <c r="B507" t="s">
        <v>614</v>
      </c>
      <c r="C507" t="s">
        <v>1345</v>
      </c>
      <c r="D507" t="s">
        <v>46</v>
      </c>
      <c r="E507" t="s">
        <v>18</v>
      </c>
      <c r="F507" t="s">
        <v>146</v>
      </c>
      <c r="G507">
        <v>4</v>
      </c>
      <c r="H507">
        <v>6.79</v>
      </c>
      <c r="I507">
        <v>27.16</v>
      </c>
      <c r="J507">
        <v>12.53</v>
      </c>
      <c r="K507">
        <v>14.63</v>
      </c>
      <c r="L507" t="s">
        <v>53</v>
      </c>
      <c r="M507" t="s">
        <v>29</v>
      </c>
      <c r="N507" t="s">
        <v>794</v>
      </c>
    </row>
    <row r="508" spans="1:14">
      <c r="A508" t="s">
        <v>1346</v>
      </c>
      <c r="B508" t="s">
        <v>762</v>
      </c>
      <c r="C508" t="s">
        <v>434</v>
      </c>
      <c r="D508" t="s">
        <v>26</v>
      </c>
      <c r="E508" t="s">
        <v>34</v>
      </c>
      <c r="F508" t="s">
        <v>135</v>
      </c>
      <c r="G508">
        <v>4</v>
      </c>
      <c r="H508">
        <v>3.67</v>
      </c>
      <c r="I508">
        <v>14.68</v>
      </c>
      <c r="J508">
        <v>9.46</v>
      </c>
      <c r="K508">
        <v>5.22</v>
      </c>
      <c r="L508" t="s">
        <v>53</v>
      </c>
      <c r="M508" t="s">
        <v>54</v>
      </c>
      <c r="N508" t="s">
        <v>207</v>
      </c>
    </row>
    <row r="509" spans="1:14">
      <c r="A509" t="s">
        <v>1347</v>
      </c>
      <c r="B509" t="s">
        <v>981</v>
      </c>
      <c r="C509" t="s">
        <v>1348</v>
      </c>
      <c r="D509" t="s">
        <v>69</v>
      </c>
      <c r="E509" t="s">
        <v>18</v>
      </c>
      <c r="F509" t="s">
        <v>146</v>
      </c>
      <c r="G509">
        <v>2</v>
      </c>
      <c r="H509">
        <v>7.95</v>
      </c>
      <c r="I509">
        <v>15.9</v>
      </c>
      <c r="J509">
        <v>9.56</v>
      </c>
      <c r="K509">
        <v>6.34</v>
      </c>
      <c r="L509" t="s">
        <v>53</v>
      </c>
      <c r="M509" t="s">
        <v>21</v>
      </c>
      <c r="N509" t="s">
        <v>30</v>
      </c>
    </row>
    <row r="510" spans="1:14">
      <c r="A510" t="s">
        <v>1349</v>
      </c>
      <c r="B510" t="s">
        <v>922</v>
      </c>
      <c r="C510" t="s">
        <v>1350</v>
      </c>
      <c r="D510" t="s">
        <v>46</v>
      </c>
      <c r="E510" t="s">
        <v>74</v>
      </c>
      <c r="F510" t="s">
        <v>83</v>
      </c>
      <c r="G510">
        <v>5</v>
      </c>
      <c r="H510">
        <v>4.38</v>
      </c>
      <c r="I510">
        <v>21.9</v>
      </c>
      <c r="J510">
        <v>13.25</v>
      </c>
      <c r="K510">
        <v>8.65</v>
      </c>
      <c r="L510" t="s">
        <v>20</v>
      </c>
      <c r="M510" t="s">
        <v>21</v>
      </c>
      <c r="N510" t="s">
        <v>1351</v>
      </c>
    </row>
    <row r="511" spans="1:14">
      <c r="A511" t="s">
        <v>1352</v>
      </c>
      <c r="B511" t="s">
        <v>1212</v>
      </c>
      <c r="C511" t="s">
        <v>1353</v>
      </c>
      <c r="D511" t="s">
        <v>52</v>
      </c>
      <c r="E511" t="s">
        <v>27</v>
      </c>
      <c r="F511" t="s">
        <v>169</v>
      </c>
      <c r="G511">
        <v>3</v>
      </c>
      <c r="H511">
        <v>5.67</v>
      </c>
      <c r="I511">
        <v>17.01</v>
      </c>
      <c r="J511">
        <v>9.14</v>
      </c>
      <c r="K511">
        <v>7.87</v>
      </c>
      <c r="L511" t="s">
        <v>60</v>
      </c>
      <c r="M511" t="s">
        <v>29</v>
      </c>
      <c r="N511" t="s">
        <v>242</v>
      </c>
    </row>
    <row r="512" spans="1:14">
      <c r="A512" t="s">
        <v>1354</v>
      </c>
      <c r="B512" t="s">
        <v>713</v>
      </c>
      <c r="C512" t="s">
        <v>197</v>
      </c>
      <c r="D512" t="s">
        <v>46</v>
      </c>
      <c r="E512" t="s">
        <v>74</v>
      </c>
      <c r="F512" t="s">
        <v>92</v>
      </c>
      <c r="G512">
        <v>5</v>
      </c>
      <c r="H512">
        <v>6.81</v>
      </c>
      <c r="I512">
        <v>34.05</v>
      </c>
      <c r="J512">
        <v>15.99</v>
      </c>
      <c r="K512">
        <v>18.06</v>
      </c>
      <c r="L512" t="s">
        <v>20</v>
      </c>
      <c r="M512" t="s">
        <v>54</v>
      </c>
      <c r="N512" t="s">
        <v>574</v>
      </c>
    </row>
    <row r="513" spans="1:14">
      <c r="A513" t="s">
        <v>1355</v>
      </c>
      <c r="B513" t="s">
        <v>792</v>
      </c>
      <c r="C513" t="s">
        <v>1356</v>
      </c>
      <c r="D513" t="s">
        <v>46</v>
      </c>
      <c r="E513" t="s">
        <v>27</v>
      </c>
      <c r="F513" t="s">
        <v>28</v>
      </c>
      <c r="G513">
        <v>2</v>
      </c>
      <c r="H513">
        <v>6.2</v>
      </c>
      <c r="I513">
        <v>12.4</v>
      </c>
      <c r="J513">
        <v>5.94</v>
      </c>
      <c r="K513">
        <v>6.46</v>
      </c>
      <c r="L513" t="s">
        <v>36</v>
      </c>
      <c r="M513" t="s">
        <v>29</v>
      </c>
      <c r="N513" t="s">
        <v>850</v>
      </c>
    </row>
    <row r="514" spans="1:14">
      <c r="A514" t="s">
        <v>1357</v>
      </c>
      <c r="B514" t="s">
        <v>1358</v>
      </c>
      <c r="C514" t="s">
        <v>1359</v>
      </c>
      <c r="D514" t="s">
        <v>52</v>
      </c>
      <c r="E514" t="s">
        <v>18</v>
      </c>
      <c r="F514" t="s">
        <v>146</v>
      </c>
      <c r="G514">
        <v>3</v>
      </c>
      <c r="H514">
        <v>5.95</v>
      </c>
      <c r="I514">
        <v>17.85</v>
      </c>
      <c r="J514">
        <v>8.81</v>
      </c>
      <c r="K514">
        <v>9.04</v>
      </c>
      <c r="L514" t="s">
        <v>60</v>
      </c>
      <c r="M514" t="s">
        <v>54</v>
      </c>
      <c r="N514" t="s">
        <v>139</v>
      </c>
    </row>
    <row r="515" spans="1:14">
      <c r="A515" t="s">
        <v>1360</v>
      </c>
      <c r="B515" t="s">
        <v>333</v>
      </c>
      <c r="C515" t="s">
        <v>1361</v>
      </c>
      <c r="D515" t="s">
        <v>26</v>
      </c>
      <c r="E515" t="s">
        <v>74</v>
      </c>
      <c r="F515" t="s">
        <v>75</v>
      </c>
      <c r="G515">
        <v>3</v>
      </c>
      <c r="H515">
        <v>6.64</v>
      </c>
      <c r="I515">
        <v>19.92</v>
      </c>
      <c r="J515">
        <v>10.85</v>
      </c>
      <c r="K515">
        <v>9.07</v>
      </c>
      <c r="L515" t="s">
        <v>20</v>
      </c>
      <c r="M515" t="s">
        <v>54</v>
      </c>
      <c r="N515" t="s">
        <v>1362</v>
      </c>
    </row>
    <row r="516" spans="1:14">
      <c r="A516" t="s">
        <v>1363</v>
      </c>
      <c r="B516" t="s">
        <v>603</v>
      </c>
      <c r="C516" t="s">
        <v>211</v>
      </c>
      <c r="D516" t="s">
        <v>17</v>
      </c>
      <c r="E516" t="s">
        <v>34</v>
      </c>
      <c r="F516" t="s">
        <v>130</v>
      </c>
      <c r="G516">
        <v>1</v>
      </c>
      <c r="H516">
        <v>4.78</v>
      </c>
      <c r="I516">
        <v>4.78</v>
      </c>
      <c r="J516">
        <v>2.68</v>
      </c>
      <c r="K516">
        <v>2.1</v>
      </c>
      <c r="L516" t="s">
        <v>53</v>
      </c>
      <c r="M516" t="s">
        <v>21</v>
      </c>
      <c r="N516" t="s">
        <v>1118</v>
      </c>
    </row>
    <row r="517" spans="1:14">
      <c r="A517" t="s">
        <v>1364</v>
      </c>
      <c r="B517" t="s">
        <v>701</v>
      </c>
      <c r="C517" t="s">
        <v>1365</v>
      </c>
      <c r="D517" t="s">
        <v>52</v>
      </c>
      <c r="E517" t="s">
        <v>34</v>
      </c>
      <c r="F517" t="s">
        <v>59</v>
      </c>
      <c r="G517">
        <v>4</v>
      </c>
      <c r="H517">
        <v>2.7</v>
      </c>
      <c r="I517">
        <v>10.8</v>
      </c>
      <c r="J517">
        <v>6.87</v>
      </c>
      <c r="K517">
        <v>3.93</v>
      </c>
      <c r="L517" t="s">
        <v>36</v>
      </c>
      <c r="M517" t="s">
        <v>29</v>
      </c>
      <c r="N517" t="s">
        <v>142</v>
      </c>
    </row>
    <row r="518" spans="1:14">
      <c r="A518" t="s">
        <v>1366</v>
      </c>
      <c r="B518" t="s">
        <v>811</v>
      </c>
      <c r="C518" t="s">
        <v>1367</v>
      </c>
      <c r="D518" t="s">
        <v>69</v>
      </c>
      <c r="E518" t="s">
        <v>34</v>
      </c>
      <c r="F518" t="s">
        <v>35</v>
      </c>
      <c r="G518">
        <v>4</v>
      </c>
      <c r="H518">
        <v>5.11</v>
      </c>
      <c r="I518">
        <v>20.44</v>
      </c>
      <c r="J518">
        <v>13.59</v>
      </c>
      <c r="K518">
        <v>6.85</v>
      </c>
      <c r="L518" t="s">
        <v>60</v>
      </c>
      <c r="M518" t="s">
        <v>29</v>
      </c>
      <c r="N518" t="s">
        <v>397</v>
      </c>
    </row>
    <row r="519" spans="1:14">
      <c r="A519" t="s">
        <v>1368</v>
      </c>
      <c r="B519" t="s">
        <v>935</v>
      </c>
      <c r="C519" t="s">
        <v>1369</v>
      </c>
      <c r="D519" t="s">
        <v>46</v>
      </c>
      <c r="E519" t="s">
        <v>34</v>
      </c>
      <c r="F519" t="s">
        <v>47</v>
      </c>
      <c r="G519">
        <v>3</v>
      </c>
      <c r="H519">
        <v>6.48</v>
      </c>
      <c r="I519">
        <v>19.44</v>
      </c>
      <c r="J519">
        <v>9.15</v>
      </c>
      <c r="K519">
        <v>10.29</v>
      </c>
      <c r="L519" t="s">
        <v>20</v>
      </c>
      <c r="M519" t="s">
        <v>21</v>
      </c>
      <c r="N519" t="s">
        <v>42</v>
      </c>
    </row>
    <row r="520" spans="1:14">
      <c r="A520" t="s">
        <v>1370</v>
      </c>
      <c r="B520" t="s">
        <v>860</v>
      </c>
      <c r="C520" t="s">
        <v>1371</v>
      </c>
      <c r="D520" t="s">
        <v>26</v>
      </c>
      <c r="E520" t="s">
        <v>27</v>
      </c>
      <c r="F520" t="s">
        <v>28</v>
      </c>
      <c r="G520">
        <v>2</v>
      </c>
      <c r="H520">
        <v>7.68</v>
      </c>
      <c r="I520">
        <v>15.36</v>
      </c>
      <c r="J520">
        <v>7.7</v>
      </c>
      <c r="K520">
        <v>7.66</v>
      </c>
      <c r="L520" t="s">
        <v>36</v>
      </c>
      <c r="M520" t="s">
        <v>21</v>
      </c>
      <c r="N520" t="s">
        <v>84</v>
      </c>
    </row>
    <row r="521" spans="1:14">
      <c r="A521" t="s">
        <v>1372</v>
      </c>
      <c r="B521" t="s">
        <v>1373</v>
      </c>
      <c r="C521" t="s">
        <v>1374</v>
      </c>
      <c r="D521" t="s">
        <v>46</v>
      </c>
      <c r="E521" t="s">
        <v>27</v>
      </c>
      <c r="F521" t="s">
        <v>125</v>
      </c>
      <c r="G521">
        <v>4</v>
      </c>
      <c r="H521">
        <v>6.69</v>
      </c>
      <c r="I521">
        <v>26.76</v>
      </c>
      <c r="J521">
        <v>14.08</v>
      </c>
      <c r="K521">
        <v>12.68</v>
      </c>
      <c r="L521" t="s">
        <v>53</v>
      </c>
      <c r="M521" t="s">
        <v>54</v>
      </c>
      <c r="N521" t="s">
        <v>534</v>
      </c>
    </row>
    <row r="522" spans="1:14">
      <c r="A522" t="s">
        <v>1375</v>
      </c>
      <c r="B522" t="s">
        <v>1102</v>
      </c>
      <c r="C522" t="s">
        <v>1376</v>
      </c>
      <c r="D522" t="s">
        <v>52</v>
      </c>
      <c r="E522" t="s">
        <v>18</v>
      </c>
      <c r="F522" t="s">
        <v>146</v>
      </c>
      <c r="G522">
        <v>4</v>
      </c>
      <c r="H522">
        <v>5.04</v>
      </c>
      <c r="I522">
        <v>20.16</v>
      </c>
      <c r="J522">
        <v>11.88</v>
      </c>
      <c r="K522">
        <v>8.28</v>
      </c>
      <c r="L522" t="s">
        <v>36</v>
      </c>
      <c r="M522" t="s">
        <v>54</v>
      </c>
      <c r="N522" t="s">
        <v>230</v>
      </c>
    </row>
    <row r="523" spans="1:14">
      <c r="A523" t="s">
        <v>1377</v>
      </c>
      <c r="B523" t="s">
        <v>922</v>
      </c>
      <c r="C523" t="s">
        <v>1378</v>
      </c>
      <c r="D523" t="s">
        <v>52</v>
      </c>
      <c r="E523" t="s">
        <v>34</v>
      </c>
      <c r="F523" t="s">
        <v>47</v>
      </c>
      <c r="G523">
        <v>3</v>
      </c>
      <c r="H523">
        <v>5.75</v>
      </c>
      <c r="I523">
        <v>17.25</v>
      </c>
      <c r="J523">
        <v>8.71</v>
      </c>
      <c r="K523">
        <v>8.54</v>
      </c>
      <c r="L523" t="s">
        <v>53</v>
      </c>
      <c r="M523" t="s">
        <v>54</v>
      </c>
      <c r="N523" t="s">
        <v>61</v>
      </c>
    </row>
    <row r="524" spans="1:14">
      <c r="A524" t="s">
        <v>1379</v>
      </c>
      <c r="B524" t="s">
        <v>572</v>
      </c>
      <c r="C524" t="s">
        <v>763</v>
      </c>
      <c r="D524" t="s">
        <v>26</v>
      </c>
      <c r="E524" t="s">
        <v>18</v>
      </c>
      <c r="F524" t="s">
        <v>41</v>
      </c>
      <c r="G524">
        <v>3</v>
      </c>
      <c r="H524">
        <v>3.92</v>
      </c>
      <c r="I524">
        <v>11.76</v>
      </c>
      <c r="J524">
        <v>6.69</v>
      </c>
      <c r="K524">
        <v>5.07</v>
      </c>
      <c r="L524" t="s">
        <v>53</v>
      </c>
      <c r="M524" t="s">
        <v>54</v>
      </c>
      <c r="N524" t="s">
        <v>373</v>
      </c>
    </row>
    <row r="525" spans="1:14">
      <c r="A525" t="s">
        <v>1380</v>
      </c>
      <c r="B525" t="s">
        <v>386</v>
      </c>
      <c r="C525" t="s">
        <v>803</v>
      </c>
      <c r="D525" t="s">
        <v>46</v>
      </c>
      <c r="E525" t="s">
        <v>74</v>
      </c>
      <c r="F525" t="s">
        <v>83</v>
      </c>
      <c r="G525">
        <v>5</v>
      </c>
      <c r="H525">
        <v>5.6</v>
      </c>
      <c r="I525">
        <v>28</v>
      </c>
      <c r="J525">
        <v>14.96</v>
      </c>
      <c r="K525">
        <v>13.04</v>
      </c>
      <c r="L525" t="s">
        <v>36</v>
      </c>
      <c r="M525" t="s">
        <v>54</v>
      </c>
      <c r="N525" t="s">
        <v>530</v>
      </c>
    </row>
    <row r="526" spans="1:14">
      <c r="A526" t="s">
        <v>1381</v>
      </c>
      <c r="B526" t="s">
        <v>597</v>
      </c>
      <c r="C526" t="s">
        <v>1382</v>
      </c>
      <c r="D526" t="s">
        <v>69</v>
      </c>
      <c r="E526" t="s">
        <v>18</v>
      </c>
      <c r="F526" t="s">
        <v>146</v>
      </c>
      <c r="G526">
        <v>2</v>
      </c>
      <c r="H526">
        <v>4.63</v>
      </c>
      <c r="I526">
        <v>9.26</v>
      </c>
      <c r="J526">
        <v>4.74</v>
      </c>
      <c r="K526">
        <v>4.52</v>
      </c>
      <c r="L526" t="s">
        <v>60</v>
      </c>
      <c r="M526" t="s">
        <v>54</v>
      </c>
      <c r="N526" t="s">
        <v>796</v>
      </c>
    </row>
    <row r="527" spans="1:14">
      <c r="A527" t="s">
        <v>1383</v>
      </c>
      <c r="B527" t="s">
        <v>1291</v>
      </c>
      <c r="C527" t="s">
        <v>1384</v>
      </c>
      <c r="D527" t="s">
        <v>26</v>
      </c>
      <c r="E527" t="s">
        <v>27</v>
      </c>
      <c r="F527" t="s">
        <v>70</v>
      </c>
      <c r="G527">
        <v>3</v>
      </c>
      <c r="H527">
        <v>3.51</v>
      </c>
      <c r="I527">
        <v>10.53</v>
      </c>
      <c r="J527">
        <v>5.14</v>
      </c>
      <c r="K527">
        <v>5.39</v>
      </c>
      <c r="L527" t="s">
        <v>60</v>
      </c>
      <c r="M527" t="s">
        <v>29</v>
      </c>
      <c r="N527" t="s">
        <v>207</v>
      </c>
    </row>
    <row r="528" spans="1:14">
      <c r="A528" t="s">
        <v>1385</v>
      </c>
      <c r="B528" t="s">
        <v>386</v>
      </c>
      <c r="C528" t="s">
        <v>1386</v>
      </c>
      <c r="D528" t="s">
        <v>46</v>
      </c>
      <c r="E528" t="s">
        <v>18</v>
      </c>
      <c r="F528" t="s">
        <v>146</v>
      </c>
      <c r="G528">
        <v>5</v>
      </c>
      <c r="H528">
        <v>5.5</v>
      </c>
      <c r="I528">
        <v>27.5</v>
      </c>
      <c r="J528">
        <v>12.76</v>
      </c>
      <c r="K528">
        <v>14.74</v>
      </c>
      <c r="L528" t="s">
        <v>36</v>
      </c>
      <c r="M528" t="s">
        <v>54</v>
      </c>
      <c r="N528" t="s">
        <v>55</v>
      </c>
    </row>
    <row r="529" spans="1:14">
      <c r="A529" t="s">
        <v>1387</v>
      </c>
      <c r="B529" t="s">
        <v>952</v>
      </c>
      <c r="C529" t="s">
        <v>1285</v>
      </c>
      <c r="D529" t="s">
        <v>69</v>
      </c>
      <c r="E529" t="s">
        <v>34</v>
      </c>
      <c r="F529" t="s">
        <v>135</v>
      </c>
      <c r="G529">
        <v>2</v>
      </c>
      <c r="H529">
        <v>5</v>
      </c>
      <c r="I529">
        <v>10</v>
      </c>
      <c r="J529">
        <v>6.74</v>
      </c>
      <c r="K529">
        <v>3.26</v>
      </c>
      <c r="L529" t="s">
        <v>20</v>
      </c>
      <c r="M529" t="s">
        <v>21</v>
      </c>
      <c r="N529" t="s">
        <v>200</v>
      </c>
    </row>
    <row r="530" spans="1:14">
      <c r="A530" t="s">
        <v>1388</v>
      </c>
      <c r="B530" t="s">
        <v>301</v>
      </c>
      <c r="C530" t="s">
        <v>1389</v>
      </c>
      <c r="D530" t="s">
        <v>52</v>
      </c>
      <c r="E530" t="s">
        <v>34</v>
      </c>
      <c r="F530" t="s">
        <v>59</v>
      </c>
      <c r="G530">
        <v>1</v>
      </c>
      <c r="H530">
        <v>7.48</v>
      </c>
      <c r="I530">
        <v>7.48</v>
      </c>
      <c r="J530">
        <v>4.9</v>
      </c>
      <c r="K530">
        <v>2.58</v>
      </c>
      <c r="L530" t="s">
        <v>60</v>
      </c>
      <c r="M530" t="s">
        <v>29</v>
      </c>
      <c r="N530" t="s">
        <v>727</v>
      </c>
    </row>
    <row r="531" spans="1:14">
      <c r="A531" t="s">
        <v>1390</v>
      </c>
      <c r="B531" t="s">
        <v>622</v>
      </c>
      <c r="C531" t="s">
        <v>1391</v>
      </c>
      <c r="D531" t="s">
        <v>46</v>
      </c>
      <c r="E531" t="s">
        <v>27</v>
      </c>
      <c r="F531" t="s">
        <v>169</v>
      </c>
      <c r="G531">
        <v>4</v>
      </c>
      <c r="H531">
        <v>7.07</v>
      </c>
      <c r="I531">
        <v>28.28</v>
      </c>
      <c r="J531">
        <v>19.53</v>
      </c>
      <c r="K531">
        <v>8.75</v>
      </c>
      <c r="L531" t="s">
        <v>20</v>
      </c>
      <c r="M531" t="s">
        <v>29</v>
      </c>
      <c r="N531" t="s">
        <v>142</v>
      </c>
    </row>
    <row r="532" spans="1:14">
      <c r="A532" t="s">
        <v>1392</v>
      </c>
      <c r="B532" t="s">
        <v>834</v>
      </c>
      <c r="C532" t="s">
        <v>1393</v>
      </c>
      <c r="D532" t="s">
        <v>46</v>
      </c>
      <c r="E532" t="s">
        <v>74</v>
      </c>
      <c r="F532" t="s">
        <v>75</v>
      </c>
      <c r="G532">
        <v>5</v>
      </c>
      <c r="H532">
        <v>7.9</v>
      </c>
      <c r="I532">
        <v>39.5</v>
      </c>
      <c r="J532">
        <v>19.38</v>
      </c>
      <c r="K532">
        <v>20.12</v>
      </c>
      <c r="L532" t="s">
        <v>60</v>
      </c>
      <c r="M532" t="s">
        <v>29</v>
      </c>
      <c r="N532" t="s">
        <v>473</v>
      </c>
    </row>
    <row r="533" spans="1:14">
      <c r="A533" t="s">
        <v>1394</v>
      </c>
      <c r="B533" t="s">
        <v>922</v>
      </c>
      <c r="C533" t="s">
        <v>1395</v>
      </c>
      <c r="D533" t="s">
        <v>52</v>
      </c>
      <c r="E533" t="s">
        <v>27</v>
      </c>
      <c r="F533" t="s">
        <v>70</v>
      </c>
      <c r="G533">
        <v>3</v>
      </c>
      <c r="H533">
        <v>2.87</v>
      </c>
      <c r="I533">
        <v>8.61</v>
      </c>
      <c r="J533">
        <v>4.95</v>
      </c>
      <c r="K533">
        <v>3.66</v>
      </c>
      <c r="L533" t="s">
        <v>53</v>
      </c>
      <c r="M533" t="s">
        <v>29</v>
      </c>
      <c r="N533" t="s">
        <v>111</v>
      </c>
    </row>
    <row r="534" spans="1:14">
      <c r="A534" t="s">
        <v>1396</v>
      </c>
      <c r="B534" t="s">
        <v>824</v>
      </c>
      <c r="C534" t="s">
        <v>1397</v>
      </c>
      <c r="D534" t="s">
        <v>26</v>
      </c>
      <c r="E534" t="s">
        <v>34</v>
      </c>
      <c r="F534" t="s">
        <v>35</v>
      </c>
      <c r="G534">
        <v>3</v>
      </c>
      <c r="H534">
        <v>5.7</v>
      </c>
      <c r="I534">
        <v>17.1</v>
      </c>
      <c r="J534">
        <v>9.04</v>
      </c>
      <c r="K534">
        <v>8.06</v>
      </c>
      <c r="L534" t="s">
        <v>60</v>
      </c>
      <c r="M534" t="s">
        <v>29</v>
      </c>
      <c r="N534" t="s">
        <v>841</v>
      </c>
    </row>
    <row r="535" spans="1:14">
      <c r="A535" t="s">
        <v>1398</v>
      </c>
      <c r="B535" t="s">
        <v>1399</v>
      </c>
      <c r="C535" t="s">
        <v>1400</v>
      </c>
      <c r="D535" t="s">
        <v>46</v>
      </c>
      <c r="E535" t="s">
        <v>18</v>
      </c>
      <c r="F535" t="s">
        <v>146</v>
      </c>
      <c r="G535">
        <v>5</v>
      </c>
      <c r="H535">
        <v>7.95</v>
      </c>
      <c r="I535">
        <v>39.75</v>
      </c>
      <c r="J535">
        <v>24.12</v>
      </c>
      <c r="K535">
        <v>15.63</v>
      </c>
      <c r="L535" t="s">
        <v>60</v>
      </c>
      <c r="M535" t="s">
        <v>54</v>
      </c>
      <c r="N535" t="s">
        <v>55</v>
      </c>
    </row>
    <row r="536" spans="1:14">
      <c r="A536" t="s">
        <v>1401</v>
      </c>
      <c r="B536" t="s">
        <v>591</v>
      </c>
      <c r="C536" t="s">
        <v>1402</v>
      </c>
      <c r="D536" t="s">
        <v>26</v>
      </c>
      <c r="E536" t="s">
        <v>18</v>
      </c>
      <c r="F536" t="s">
        <v>41</v>
      </c>
      <c r="G536">
        <v>2</v>
      </c>
      <c r="H536">
        <v>4.48</v>
      </c>
      <c r="I536">
        <v>8.96</v>
      </c>
      <c r="J536">
        <v>5.37</v>
      </c>
      <c r="K536">
        <v>3.59</v>
      </c>
      <c r="L536" t="s">
        <v>20</v>
      </c>
      <c r="M536" t="s">
        <v>29</v>
      </c>
      <c r="N536" t="s">
        <v>560</v>
      </c>
    </row>
    <row r="537" spans="1:14">
      <c r="A537" t="s">
        <v>1403</v>
      </c>
      <c r="B537" t="s">
        <v>692</v>
      </c>
      <c r="C537" t="s">
        <v>1404</v>
      </c>
      <c r="D537" t="s">
        <v>26</v>
      </c>
      <c r="E537" t="s">
        <v>34</v>
      </c>
      <c r="F537" t="s">
        <v>35</v>
      </c>
      <c r="G537">
        <v>1</v>
      </c>
      <c r="H537">
        <v>2.77</v>
      </c>
      <c r="I537">
        <v>2.77</v>
      </c>
      <c r="J537">
        <v>1.72</v>
      </c>
      <c r="K537">
        <v>1.05</v>
      </c>
      <c r="L537" t="s">
        <v>36</v>
      </c>
      <c r="M537" t="s">
        <v>21</v>
      </c>
      <c r="N537" t="s">
        <v>915</v>
      </c>
    </row>
    <row r="538" spans="1:14">
      <c r="A538" t="s">
        <v>1405</v>
      </c>
      <c r="B538" t="s">
        <v>1406</v>
      </c>
      <c r="C538" t="s">
        <v>665</v>
      </c>
      <c r="D538" t="s">
        <v>46</v>
      </c>
      <c r="E538" t="s">
        <v>27</v>
      </c>
      <c r="F538" t="s">
        <v>70</v>
      </c>
      <c r="G538">
        <v>2</v>
      </c>
      <c r="H538">
        <v>4.66</v>
      </c>
      <c r="I538">
        <v>9.32</v>
      </c>
      <c r="J538">
        <v>6.42</v>
      </c>
      <c r="K538">
        <v>2.9</v>
      </c>
      <c r="L538" t="s">
        <v>20</v>
      </c>
      <c r="M538" t="s">
        <v>21</v>
      </c>
      <c r="N538" t="s">
        <v>862</v>
      </c>
    </row>
    <row r="539" spans="1:14">
      <c r="A539" t="s">
        <v>1407</v>
      </c>
      <c r="B539" t="s">
        <v>1408</v>
      </c>
      <c r="C539" t="s">
        <v>1409</v>
      </c>
      <c r="D539" t="s">
        <v>17</v>
      </c>
      <c r="E539" t="s">
        <v>34</v>
      </c>
      <c r="F539" t="s">
        <v>135</v>
      </c>
      <c r="G539">
        <v>2</v>
      </c>
      <c r="H539">
        <v>7.21</v>
      </c>
      <c r="I539">
        <v>14.42</v>
      </c>
      <c r="J539">
        <v>8.73</v>
      </c>
      <c r="K539">
        <v>5.69</v>
      </c>
      <c r="L539" t="s">
        <v>60</v>
      </c>
      <c r="M539" t="s">
        <v>54</v>
      </c>
      <c r="N539" t="s">
        <v>448</v>
      </c>
    </row>
    <row r="540" spans="1:14">
      <c r="A540" t="s">
        <v>1410</v>
      </c>
      <c r="B540" t="s">
        <v>232</v>
      </c>
      <c r="C540" t="s">
        <v>1411</v>
      </c>
      <c r="D540" t="s">
        <v>26</v>
      </c>
      <c r="E540" t="s">
        <v>27</v>
      </c>
      <c r="F540" t="s">
        <v>28</v>
      </c>
      <c r="G540">
        <v>2</v>
      </c>
      <c r="H540">
        <v>6.45</v>
      </c>
      <c r="I540">
        <v>12.9</v>
      </c>
      <c r="J540">
        <v>6.84</v>
      </c>
      <c r="K540">
        <v>6.06</v>
      </c>
      <c r="L540" t="s">
        <v>60</v>
      </c>
      <c r="M540" t="s">
        <v>29</v>
      </c>
      <c r="N540" t="s">
        <v>530</v>
      </c>
    </row>
    <row r="541" spans="1:14">
      <c r="A541" t="s">
        <v>1412</v>
      </c>
      <c r="B541" t="s">
        <v>1413</v>
      </c>
      <c r="C541" t="s">
        <v>1414</v>
      </c>
      <c r="D541" t="s">
        <v>69</v>
      </c>
      <c r="E541" t="s">
        <v>74</v>
      </c>
      <c r="F541" t="s">
        <v>75</v>
      </c>
      <c r="G541">
        <v>3</v>
      </c>
      <c r="H541">
        <v>6.07</v>
      </c>
      <c r="I541">
        <v>18.21</v>
      </c>
      <c r="J541">
        <v>12.57</v>
      </c>
      <c r="K541">
        <v>5.64</v>
      </c>
      <c r="L541" t="s">
        <v>20</v>
      </c>
      <c r="M541" t="s">
        <v>29</v>
      </c>
      <c r="N541" t="s">
        <v>448</v>
      </c>
    </row>
    <row r="542" spans="1:14">
      <c r="A542" t="s">
        <v>1415</v>
      </c>
      <c r="B542" t="s">
        <v>1416</v>
      </c>
      <c r="C542" t="s">
        <v>1417</v>
      </c>
      <c r="D542" t="s">
        <v>69</v>
      </c>
      <c r="E542" t="s">
        <v>74</v>
      </c>
      <c r="F542" t="s">
        <v>92</v>
      </c>
      <c r="G542">
        <v>3</v>
      </c>
      <c r="H542">
        <v>7.71</v>
      </c>
      <c r="I542">
        <v>23.13</v>
      </c>
      <c r="J542">
        <v>12.5</v>
      </c>
      <c r="K542">
        <v>10.63</v>
      </c>
      <c r="L542" t="s">
        <v>20</v>
      </c>
      <c r="M542" t="s">
        <v>54</v>
      </c>
      <c r="N542" t="s">
        <v>155</v>
      </c>
    </row>
    <row r="543" spans="1:14">
      <c r="A543" t="s">
        <v>1418</v>
      </c>
      <c r="B543" t="s">
        <v>1419</v>
      </c>
      <c r="C543" t="s">
        <v>1420</v>
      </c>
      <c r="D543" t="s">
        <v>52</v>
      </c>
      <c r="E543" t="s">
        <v>18</v>
      </c>
      <c r="F543" t="s">
        <v>19</v>
      </c>
      <c r="G543">
        <v>3</v>
      </c>
      <c r="H543">
        <v>6.39</v>
      </c>
      <c r="I543">
        <v>19.17</v>
      </c>
      <c r="J543">
        <v>11.71</v>
      </c>
      <c r="K543">
        <v>7.46</v>
      </c>
      <c r="L543" t="s">
        <v>53</v>
      </c>
      <c r="M543" t="s">
        <v>21</v>
      </c>
      <c r="N543" t="s">
        <v>48</v>
      </c>
    </row>
    <row r="544" spans="1:14">
      <c r="A544" t="s">
        <v>1421</v>
      </c>
      <c r="B544" t="s">
        <v>656</v>
      </c>
      <c r="C544" t="s">
        <v>1422</v>
      </c>
      <c r="D544" t="s">
        <v>52</v>
      </c>
      <c r="E544" t="s">
        <v>18</v>
      </c>
      <c r="F544" t="s">
        <v>41</v>
      </c>
      <c r="G544">
        <v>2</v>
      </c>
      <c r="H544">
        <v>5.46</v>
      </c>
      <c r="I544">
        <v>10.92</v>
      </c>
      <c r="J544">
        <v>5.57</v>
      </c>
      <c r="K544">
        <v>5.35</v>
      </c>
      <c r="L544" t="s">
        <v>36</v>
      </c>
      <c r="M544" t="s">
        <v>29</v>
      </c>
      <c r="N544" t="s">
        <v>352</v>
      </c>
    </row>
    <row r="545" spans="1:14">
      <c r="A545" t="s">
        <v>1423</v>
      </c>
      <c r="B545" t="s">
        <v>827</v>
      </c>
      <c r="C545" t="s">
        <v>1424</v>
      </c>
      <c r="D545" t="s">
        <v>69</v>
      </c>
      <c r="E545" t="s">
        <v>18</v>
      </c>
      <c r="F545" t="s">
        <v>146</v>
      </c>
      <c r="G545">
        <v>5</v>
      </c>
      <c r="H545">
        <v>3.64</v>
      </c>
      <c r="I545">
        <v>18.2</v>
      </c>
      <c r="J545">
        <v>10.26</v>
      </c>
      <c r="K545">
        <v>7.94</v>
      </c>
      <c r="L545" t="s">
        <v>60</v>
      </c>
      <c r="M545" t="s">
        <v>54</v>
      </c>
      <c r="N545" t="s">
        <v>48</v>
      </c>
    </row>
    <row r="546" spans="1:14">
      <c r="A546" t="s">
        <v>1425</v>
      </c>
      <c r="B546" t="s">
        <v>1071</v>
      </c>
      <c r="C546" t="s">
        <v>1426</v>
      </c>
      <c r="D546" t="s">
        <v>52</v>
      </c>
      <c r="E546" t="s">
        <v>18</v>
      </c>
      <c r="F546" t="s">
        <v>41</v>
      </c>
      <c r="G546">
        <v>2</v>
      </c>
      <c r="H546">
        <v>6.69</v>
      </c>
      <c r="I546">
        <v>13.38</v>
      </c>
      <c r="J546">
        <v>9.24</v>
      </c>
      <c r="K546">
        <v>4.14</v>
      </c>
      <c r="L546" t="s">
        <v>36</v>
      </c>
      <c r="M546" t="s">
        <v>29</v>
      </c>
      <c r="N546" t="s">
        <v>257</v>
      </c>
    </row>
    <row r="547" spans="1:14">
      <c r="A547" t="s">
        <v>1427</v>
      </c>
      <c r="B547" t="s">
        <v>202</v>
      </c>
      <c r="C547" t="s">
        <v>1428</v>
      </c>
      <c r="D547" t="s">
        <v>69</v>
      </c>
      <c r="E547" t="s">
        <v>27</v>
      </c>
      <c r="F547" t="s">
        <v>70</v>
      </c>
      <c r="G547">
        <v>2</v>
      </c>
      <c r="H547">
        <v>6.15</v>
      </c>
      <c r="I547">
        <v>12.3</v>
      </c>
      <c r="J547">
        <v>5.64</v>
      </c>
      <c r="K547">
        <v>6.66</v>
      </c>
      <c r="L547" t="s">
        <v>60</v>
      </c>
      <c r="M547" t="s">
        <v>21</v>
      </c>
      <c r="N547" t="s">
        <v>257</v>
      </c>
    </row>
    <row r="548" spans="1:14">
      <c r="A548" t="s">
        <v>1429</v>
      </c>
      <c r="B548" t="s">
        <v>144</v>
      </c>
      <c r="C548" t="s">
        <v>1430</v>
      </c>
      <c r="D548" t="s">
        <v>46</v>
      </c>
      <c r="E548" t="s">
        <v>34</v>
      </c>
      <c r="F548" t="s">
        <v>47</v>
      </c>
      <c r="G548">
        <v>2</v>
      </c>
      <c r="H548">
        <v>4.38</v>
      </c>
      <c r="I548">
        <v>8.76</v>
      </c>
      <c r="J548">
        <v>5.66</v>
      </c>
      <c r="K548">
        <v>3.1</v>
      </c>
      <c r="L548" t="s">
        <v>53</v>
      </c>
      <c r="M548" t="s">
        <v>29</v>
      </c>
      <c r="N548" t="s">
        <v>261</v>
      </c>
    </row>
    <row r="549" spans="1:14">
      <c r="A549" t="s">
        <v>1431</v>
      </c>
      <c r="B549" t="s">
        <v>1208</v>
      </c>
      <c r="C549" t="s">
        <v>1432</v>
      </c>
      <c r="D549" t="s">
        <v>69</v>
      </c>
      <c r="E549" t="s">
        <v>74</v>
      </c>
      <c r="F549" t="s">
        <v>83</v>
      </c>
      <c r="G549">
        <v>5</v>
      </c>
      <c r="H549">
        <v>6.14</v>
      </c>
      <c r="I549">
        <v>30.7</v>
      </c>
      <c r="J549">
        <v>17.64</v>
      </c>
      <c r="K549">
        <v>13.06</v>
      </c>
      <c r="L549" t="s">
        <v>20</v>
      </c>
      <c r="M549" t="s">
        <v>54</v>
      </c>
      <c r="N549" t="s">
        <v>84</v>
      </c>
    </row>
    <row r="550" spans="1:14">
      <c r="A550" t="s">
        <v>1433</v>
      </c>
      <c r="B550" t="s">
        <v>1408</v>
      </c>
      <c r="C550" t="s">
        <v>1434</v>
      </c>
      <c r="D550" t="s">
        <v>17</v>
      </c>
      <c r="E550" t="s">
        <v>27</v>
      </c>
      <c r="F550" t="s">
        <v>125</v>
      </c>
      <c r="G550">
        <v>3</v>
      </c>
      <c r="H550">
        <v>3.13</v>
      </c>
      <c r="I550">
        <v>9.39</v>
      </c>
      <c r="J550">
        <v>6.46</v>
      </c>
      <c r="K550">
        <v>2.93</v>
      </c>
      <c r="L550" t="s">
        <v>36</v>
      </c>
      <c r="M550" t="s">
        <v>54</v>
      </c>
      <c r="N550" t="s">
        <v>147</v>
      </c>
    </row>
    <row r="551" spans="1:14">
      <c r="A551" t="s">
        <v>1435</v>
      </c>
      <c r="B551" t="s">
        <v>301</v>
      </c>
      <c r="C551" t="s">
        <v>1169</v>
      </c>
      <c r="D551" t="s">
        <v>69</v>
      </c>
      <c r="E551" t="s">
        <v>27</v>
      </c>
      <c r="F551" t="s">
        <v>169</v>
      </c>
      <c r="G551">
        <v>5</v>
      </c>
      <c r="H551">
        <v>5.18</v>
      </c>
      <c r="I551">
        <v>25.9</v>
      </c>
      <c r="J551">
        <v>14.13</v>
      </c>
      <c r="K551">
        <v>11.77</v>
      </c>
      <c r="L551" t="s">
        <v>36</v>
      </c>
      <c r="M551" t="s">
        <v>21</v>
      </c>
      <c r="N551" t="s">
        <v>151</v>
      </c>
    </row>
    <row r="552" spans="1:14">
      <c r="A552" t="s">
        <v>1436</v>
      </c>
      <c r="B552" t="s">
        <v>1437</v>
      </c>
      <c r="C552" t="s">
        <v>1438</v>
      </c>
      <c r="D552" t="s">
        <v>46</v>
      </c>
      <c r="E552" t="s">
        <v>74</v>
      </c>
      <c r="F552" t="s">
        <v>92</v>
      </c>
      <c r="G552">
        <v>3</v>
      </c>
      <c r="H552">
        <v>5.8</v>
      </c>
      <c r="I552">
        <v>17.4</v>
      </c>
      <c r="J552">
        <v>8.82</v>
      </c>
      <c r="K552">
        <v>8.58</v>
      </c>
      <c r="L552" t="s">
        <v>53</v>
      </c>
      <c r="M552" t="s">
        <v>54</v>
      </c>
      <c r="N552" t="s">
        <v>422</v>
      </c>
    </row>
    <row r="553" spans="1:14">
      <c r="A553" t="s">
        <v>1439</v>
      </c>
      <c r="B553" t="s">
        <v>1315</v>
      </c>
      <c r="C553" t="s">
        <v>1440</v>
      </c>
      <c r="D553" t="s">
        <v>52</v>
      </c>
      <c r="E553" t="s">
        <v>18</v>
      </c>
      <c r="F553" t="s">
        <v>41</v>
      </c>
      <c r="G553">
        <v>5</v>
      </c>
      <c r="H553">
        <v>2.8</v>
      </c>
      <c r="I553">
        <v>14</v>
      </c>
      <c r="J553">
        <v>8.14</v>
      </c>
      <c r="K553">
        <v>5.86</v>
      </c>
      <c r="L553" t="s">
        <v>53</v>
      </c>
      <c r="M553" t="s">
        <v>29</v>
      </c>
      <c r="N553" t="s">
        <v>200</v>
      </c>
    </row>
    <row r="554" spans="1:14">
      <c r="A554" t="s">
        <v>1441</v>
      </c>
      <c r="B554" t="s">
        <v>792</v>
      </c>
      <c r="C554" t="s">
        <v>1442</v>
      </c>
      <c r="D554" t="s">
        <v>17</v>
      </c>
      <c r="E554" t="s">
        <v>27</v>
      </c>
      <c r="F554" t="s">
        <v>70</v>
      </c>
      <c r="G554">
        <v>2</v>
      </c>
      <c r="H554">
        <v>8</v>
      </c>
      <c r="I554">
        <v>16</v>
      </c>
      <c r="J554">
        <v>9.46</v>
      </c>
      <c r="K554">
        <v>6.54</v>
      </c>
      <c r="L554" t="s">
        <v>53</v>
      </c>
      <c r="M554" t="s">
        <v>21</v>
      </c>
      <c r="N554" t="s">
        <v>48</v>
      </c>
    </row>
    <row r="555" spans="1:14">
      <c r="A555" t="s">
        <v>1443</v>
      </c>
      <c r="B555" t="s">
        <v>981</v>
      </c>
      <c r="C555" t="s">
        <v>1444</v>
      </c>
      <c r="D555" t="s">
        <v>52</v>
      </c>
      <c r="E555" t="s">
        <v>27</v>
      </c>
      <c r="F555" t="s">
        <v>28</v>
      </c>
      <c r="G555">
        <v>2</v>
      </c>
      <c r="H555">
        <v>7.08</v>
      </c>
      <c r="I555">
        <v>14.16</v>
      </c>
      <c r="J555">
        <v>9.24</v>
      </c>
      <c r="K555">
        <v>4.92</v>
      </c>
      <c r="L555" t="s">
        <v>53</v>
      </c>
      <c r="M555" t="s">
        <v>54</v>
      </c>
      <c r="N555" t="s">
        <v>497</v>
      </c>
    </row>
    <row r="556" spans="1:14">
      <c r="A556" t="s">
        <v>1445</v>
      </c>
      <c r="B556" t="s">
        <v>1446</v>
      </c>
      <c r="C556" t="s">
        <v>1447</v>
      </c>
      <c r="D556" t="s">
        <v>69</v>
      </c>
      <c r="E556" t="s">
        <v>74</v>
      </c>
      <c r="F556" t="s">
        <v>92</v>
      </c>
      <c r="G556">
        <v>2</v>
      </c>
      <c r="H556">
        <v>3.37</v>
      </c>
      <c r="I556">
        <v>6.74</v>
      </c>
      <c r="J556">
        <v>4.61</v>
      </c>
      <c r="K556">
        <v>2.13</v>
      </c>
      <c r="L556" t="s">
        <v>36</v>
      </c>
      <c r="M556" t="s">
        <v>21</v>
      </c>
      <c r="N556" t="s">
        <v>303</v>
      </c>
    </row>
    <row r="557" spans="1:14">
      <c r="A557" t="s">
        <v>1448</v>
      </c>
      <c r="B557" t="s">
        <v>1449</v>
      </c>
      <c r="C557" t="s">
        <v>1450</v>
      </c>
      <c r="D557" t="s">
        <v>52</v>
      </c>
      <c r="E557" t="s">
        <v>18</v>
      </c>
      <c r="F557" t="s">
        <v>19</v>
      </c>
      <c r="G557">
        <v>1</v>
      </c>
      <c r="H557">
        <v>7.68</v>
      </c>
      <c r="I557">
        <v>7.68</v>
      </c>
      <c r="J557">
        <v>3.6</v>
      </c>
      <c r="K557">
        <v>4.08</v>
      </c>
      <c r="L557" t="s">
        <v>20</v>
      </c>
      <c r="M557" t="s">
        <v>54</v>
      </c>
      <c r="N557" t="s">
        <v>207</v>
      </c>
    </row>
    <row r="558" spans="1:14">
      <c r="A558" t="s">
        <v>1451</v>
      </c>
      <c r="B558" t="s">
        <v>1144</v>
      </c>
      <c r="C558" t="s">
        <v>1452</v>
      </c>
      <c r="D558" t="s">
        <v>17</v>
      </c>
      <c r="E558" t="s">
        <v>74</v>
      </c>
      <c r="F558" t="s">
        <v>75</v>
      </c>
      <c r="G558">
        <v>2</v>
      </c>
      <c r="H558">
        <v>6.38</v>
      </c>
      <c r="I558">
        <v>12.76</v>
      </c>
      <c r="J558">
        <v>6.7</v>
      </c>
      <c r="K558">
        <v>6.06</v>
      </c>
      <c r="L558" t="s">
        <v>53</v>
      </c>
      <c r="M558" t="s">
        <v>54</v>
      </c>
      <c r="N558" t="s">
        <v>550</v>
      </c>
    </row>
    <row r="559" spans="1:14">
      <c r="A559" t="s">
        <v>1453</v>
      </c>
      <c r="B559" t="s">
        <v>1454</v>
      </c>
      <c r="C559" t="s">
        <v>604</v>
      </c>
      <c r="D559" t="s">
        <v>26</v>
      </c>
      <c r="E559" t="s">
        <v>18</v>
      </c>
      <c r="F559" t="s">
        <v>146</v>
      </c>
      <c r="G559">
        <v>5</v>
      </c>
      <c r="H559">
        <v>7.36</v>
      </c>
      <c r="I559">
        <v>36.8</v>
      </c>
      <c r="J559">
        <v>23.41</v>
      </c>
      <c r="K559">
        <v>13.39</v>
      </c>
      <c r="L559" t="s">
        <v>53</v>
      </c>
      <c r="M559" t="s">
        <v>54</v>
      </c>
      <c r="N559" t="s">
        <v>30</v>
      </c>
    </row>
    <row r="560" spans="1:14">
      <c r="A560" t="s">
        <v>1455</v>
      </c>
      <c r="B560" t="s">
        <v>250</v>
      </c>
      <c r="C560" t="s">
        <v>1166</v>
      </c>
      <c r="D560" t="s">
        <v>26</v>
      </c>
      <c r="E560" t="s">
        <v>74</v>
      </c>
      <c r="F560" t="s">
        <v>75</v>
      </c>
      <c r="G560">
        <v>5</v>
      </c>
      <c r="H560">
        <v>5.31</v>
      </c>
      <c r="I560">
        <v>26.55</v>
      </c>
      <c r="J560">
        <v>13.03</v>
      </c>
      <c r="K560">
        <v>13.52</v>
      </c>
      <c r="L560" t="s">
        <v>36</v>
      </c>
      <c r="M560" t="s">
        <v>54</v>
      </c>
      <c r="N560" t="s">
        <v>970</v>
      </c>
    </row>
    <row r="561" spans="1:14">
      <c r="A561" t="s">
        <v>1456</v>
      </c>
      <c r="B561" t="s">
        <v>1457</v>
      </c>
      <c r="C561" t="s">
        <v>1458</v>
      </c>
      <c r="D561" t="s">
        <v>46</v>
      </c>
      <c r="E561" t="s">
        <v>74</v>
      </c>
      <c r="F561" t="s">
        <v>83</v>
      </c>
      <c r="G561">
        <v>1</v>
      </c>
      <c r="H561">
        <v>7.46</v>
      </c>
      <c r="I561">
        <v>7.46</v>
      </c>
      <c r="J561">
        <v>4.08</v>
      </c>
      <c r="K561">
        <v>3.38</v>
      </c>
      <c r="L561" t="s">
        <v>60</v>
      </c>
      <c r="M561" t="s">
        <v>29</v>
      </c>
      <c r="N561" t="s">
        <v>896</v>
      </c>
    </row>
    <row r="562" spans="1:14">
      <c r="A562" t="s">
        <v>1459</v>
      </c>
      <c r="B562" t="s">
        <v>440</v>
      </c>
      <c r="C562" t="s">
        <v>1460</v>
      </c>
      <c r="D562" t="s">
        <v>26</v>
      </c>
      <c r="E562" t="s">
        <v>74</v>
      </c>
      <c r="F562" t="s">
        <v>83</v>
      </c>
      <c r="G562">
        <v>3</v>
      </c>
      <c r="H562">
        <v>5.88</v>
      </c>
      <c r="I562">
        <v>17.64</v>
      </c>
      <c r="J562">
        <v>9.59</v>
      </c>
      <c r="K562">
        <v>8.05</v>
      </c>
      <c r="L562" t="s">
        <v>53</v>
      </c>
      <c r="M562" t="s">
        <v>54</v>
      </c>
      <c r="N562" t="s">
        <v>84</v>
      </c>
    </row>
    <row r="563" spans="1:14">
      <c r="A563" t="s">
        <v>1461</v>
      </c>
      <c r="B563" t="s">
        <v>528</v>
      </c>
      <c r="C563" t="s">
        <v>1462</v>
      </c>
      <c r="D563" t="s">
        <v>17</v>
      </c>
      <c r="E563" t="s">
        <v>27</v>
      </c>
      <c r="F563" t="s">
        <v>28</v>
      </c>
      <c r="G563">
        <v>3</v>
      </c>
      <c r="H563">
        <v>4.27</v>
      </c>
      <c r="I563">
        <v>12.81</v>
      </c>
      <c r="J563">
        <v>7.78</v>
      </c>
      <c r="K563">
        <v>5.03</v>
      </c>
      <c r="L563" t="s">
        <v>20</v>
      </c>
      <c r="M563" t="s">
        <v>54</v>
      </c>
      <c r="N563" t="s">
        <v>55</v>
      </c>
    </row>
    <row r="564" spans="1:14">
      <c r="A564" t="s">
        <v>1463</v>
      </c>
      <c r="B564" t="s">
        <v>1288</v>
      </c>
      <c r="C564" t="s">
        <v>1035</v>
      </c>
      <c r="D564" t="s">
        <v>17</v>
      </c>
      <c r="E564" t="s">
        <v>27</v>
      </c>
      <c r="F564" t="s">
        <v>125</v>
      </c>
      <c r="G564">
        <v>1</v>
      </c>
      <c r="H564">
        <v>3.15</v>
      </c>
      <c r="I564">
        <v>3.15</v>
      </c>
      <c r="J564">
        <v>2.07</v>
      </c>
      <c r="K564">
        <v>1.08</v>
      </c>
      <c r="L564" t="s">
        <v>20</v>
      </c>
      <c r="M564" t="s">
        <v>29</v>
      </c>
      <c r="N564" t="s">
        <v>79</v>
      </c>
    </row>
    <row r="565" spans="1:14">
      <c r="A565" t="s">
        <v>1464</v>
      </c>
      <c r="B565" t="s">
        <v>1084</v>
      </c>
      <c r="C565" t="s">
        <v>1465</v>
      </c>
      <c r="D565" t="s">
        <v>26</v>
      </c>
      <c r="E565" t="s">
        <v>27</v>
      </c>
      <c r="F565" t="s">
        <v>169</v>
      </c>
      <c r="G565">
        <v>3</v>
      </c>
      <c r="H565">
        <v>6.67</v>
      </c>
      <c r="I565">
        <v>20.01</v>
      </c>
      <c r="J565">
        <v>13.61</v>
      </c>
      <c r="K565">
        <v>6.4</v>
      </c>
      <c r="L565" t="s">
        <v>20</v>
      </c>
      <c r="M565" t="s">
        <v>54</v>
      </c>
      <c r="N565" t="s">
        <v>497</v>
      </c>
    </row>
    <row r="566" spans="1:14">
      <c r="A566" t="s">
        <v>1466</v>
      </c>
      <c r="B566" t="s">
        <v>659</v>
      </c>
      <c r="C566" t="s">
        <v>920</v>
      </c>
      <c r="D566" t="s">
        <v>17</v>
      </c>
      <c r="E566" t="s">
        <v>27</v>
      </c>
      <c r="F566" t="s">
        <v>125</v>
      </c>
      <c r="G566">
        <v>4</v>
      </c>
      <c r="H566">
        <v>2.61</v>
      </c>
      <c r="I566">
        <v>10.44</v>
      </c>
      <c r="J566">
        <v>7.02</v>
      </c>
      <c r="K566">
        <v>3.42</v>
      </c>
      <c r="L566" t="s">
        <v>60</v>
      </c>
      <c r="M566" t="s">
        <v>54</v>
      </c>
      <c r="N566" t="s">
        <v>261</v>
      </c>
    </row>
    <row r="567" spans="1:14">
      <c r="A567" t="s">
        <v>1467</v>
      </c>
      <c r="B567" t="s">
        <v>1468</v>
      </c>
      <c r="C567" t="s">
        <v>1404</v>
      </c>
      <c r="D567" t="s">
        <v>52</v>
      </c>
      <c r="E567" t="s">
        <v>34</v>
      </c>
      <c r="F567" t="s">
        <v>59</v>
      </c>
      <c r="G567">
        <v>5</v>
      </c>
      <c r="H567">
        <v>3.39</v>
      </c>
      <c r="I567">
        <v>16.95</v>
      </c>
      <c r="J567">
        <v>11.45</v>
      </c>
      <c r="K567">
        <v>5.5</v>
      </c>
      <c r="L567" t="s">
        <v>53</v>
      </c>
      <c r="M567" t="s">
        <v>21</v>
      </c>
      <c r="N567" t="s">
        <v>365</v>
      </c>
    </row>
    <row r="568" spans="1:14">
      <c r="A568" t="s">
        <v>1469</v>
      </c>
      <c r="B568" t="s">
        <v>266</v>
      </c>
      <c r="C568" t="s">
        <v>1470</v>
      </c>
      <c r="D568" t="s">
        <v>52</v>
      </c>
      <c r="E568" t="s">
        <v>74</v>
      </c>
      <c r="F568" t="s">
        <v>75</v>
      </c>
      <c r="G568">
        <v>1</v>
      </c>
      <c r="H568">
        <v>4.57</v>
      </c>
      <c r="I568">
        <v>4.57</v>
      </c>
      <c r="J568">
        <v>3.08</v>
      </c>
      <c r="K568">
        <v>1.49</v>
      </c>
      <c r="L568" t="s">
        <v>20</v>
      </c>
      <c r="M568" t="s">
        <v>21</v>
      </c>
      <c r="N568" t="s">
        <v>822</v>
      </c>
    </row>
    <row r="569" spans="1:14">
      <c r="A569" t="s">
        <v>1471</v>
      </c>
      <c r="B569" t="s">
        <v>608</v>
      </c>
      <c r="C569" t="s">
        <v>1472</v>
      </c>
      <c r="D569" t="s">
        <v>26</v>
      </c>
      <c r="E569" t="s">
        <v>27</v>
      </c>
      <c r="F569" t="s">
        <v>70</v>
      </c>
      <c r="G569">
        <v>4</v>
      </c>
      <c r="H569">
        <v>4.83</v>
      </c>
      <c r="I569">
        <v>19.32</v>
      </c>
      <c r="J569">
        <v>11.57</v>
      </c>
      <c r="K569">
        <v>7.75</v>
      </c>
      <c r="L569" t="s">
        <v>36</v>
      </c>
      <c r="M569" t="s">
        <v>54</v>
      </c>
      <c r="N569" t="s">
        <v>303</v>
      </c>
    </row>
    <row r="570" spans="1:14">
      <c r="A570" t="s">
        <v>1473</v>
      </c>
      <c r="B570" t="s">
        <v>1105</v>
      </c>
      <c r="C570" t="s">
        <v>1474</v>
      </c>
      <c r="D570" t="s">
        <v>26</v>
      </c>
      <c r="E570" t="s">
        <v>74</v>
      </c>
      <c r="F570" t="s">
        <v>92</v>
      </c>
      <c r="G570">
        <v>2</v>
      </c>
      <c r="H570">
        <v>2.75</v>
      </c>
      <c r="I570">
        <v>5.5</v>
      </c>
      <c r="J570">
        <v>2.69</v>
      </c>
      <c r="K570">
        <v>2.81</v>
      </c>
      <c r="L570" t="s">
        <v>60</v>
      </c>
      <c r="M570" t="s">
        <v>21</v>
      </c>
      <c r="N570" t="s">
        <v>285</v>
      </c>
    </row>
    <row r="571" spans="1:14">
      <c r="A571" t="s">
        <v>1475</v>
      </c>
      <c r="B571" t="s">
        <v>1476</v>
      </c>
      <c r="C571" t="s">
        <v>1477</v>
      </c>
      <c r="D571" t="s">
        <v>52</v>
      </c>
      <c r="E571" t="s">
        <v>18</v>
      </c>
      <c r="F571" t="s">
        <v>19</v>
      </c>
      <c r="G571">
        <v>5</v>
      </c>
      <c r="H571">
        <v>4.36</v>
      </c>
      <c r="I571">
        <v>21.8</v>
      </c>
      <c r="J571">
        <v>13.62</v>
      </c>
      <c r="K571">
        <v>8.18</v>
      </c>
      <c r="L571" t="s">
        <v>20</v>
      </c>
      <c r="M571" t="s">
        <v>29</v>
      </c>
      <c r="N571" t="s">
        <v>473</v>
      </c>
    </row>
    <row r="572" spans="1:14">
      <c r="A572" t="s">
        <v>1478</v>
      </c>
      <c r="B572" t="s">
        <v>1479</v>
      </c>
      <c r="C572" t="s">
        <v>1480</v>
      </c>
      <c r="D572" t="s">
        <v>46</v>
      </c>
      <c r="E572" t="s">
        <v>74</v>
      </c>
      <c r="F572" t="s">
        <v>75</v>
      </c>
      <c r="G572">
        <v>5</v>
      </c>
      <c r="H572">
        <v>7.33</v>
      </c>
      <c r="I572">
        <v>36.65</v>
      </c>
      <c r="J572">
        <v>23.54</v>
      </c>
      <c r="K572">
        <v>13.11</v>
      </c>
      <c r="L572" t="s">
        <v>20</v>
      </c>
      <c r="M572" t="s">
        <v>54</v>
      </c>
      <c r="N572" t="s">
        <v>118</v>
      </c>
    </row>
    <row r="573" spans="1:14">
      <c r="A573" t="s">
        <v>1481</v>
      </c>
      <c r="B573" t="s">
        <v>1043</v>
      </c>
      <c r="C573" t="s">
        <v>1482</v>
      </c>
      <c r="D573" t="s">
        <v>69</v>
      </c>
      <c r="E573" t="s">
        <v>34</v>
      </c>
      <c r="F573" t="s">
        <v>59</v>
      </c>
      <c r="G573">
        <v>5</v>
      </c>
      <c r="H573">
        <v>7.3</v>
      </c>
      <c r="I573">
        <v>36.5</v>
      </c>
      <c r="J573">
        <v>18.59</v>
      </c>
      <c r="K573">
        <v>17.91</v>
      </c>
      <c r="L573" t="s">
        <v>36</v>
      </c>
      <c r="M573" t="s">
        <v>54</v>
      </c>
      <c r="N573" t="s">
        <v>887</v>
      </c>
    </row>
    <row r="574" spans="1:14">
      <c r="A574" t="s">
        <v>1483</v>
      </c>
      <c r="B574" t="s">
        <v>149</v>
      </c>
      <c r="C574" t="s">
        <v>1382</v>
      </c>
      <c r="D574" t="s">
        <v>69</v>
      </c>
      <c r="E574" t="s">
        <v>27</v>
      </c>
      <c r="F574" t="s">
        <v>28</v>
      </c>
      <c r="G574">
        <v>3</v>
      </c>
      <c r="H574">
        <v>6.93</v>
      </c>
      <c r="I574">
        <v>20.79</v>
      </c>
      <c r="J574">
        <v>13.55</v>
      </c>
      <c r="K574">
        <v>7.24</v>
      </c>
      <c r="L574" t="s">
        <v>36</v>
      </c>
      <c r="M574" t="s">
        <v>29</v>
      </c>
      <c r="N574" t="s">
        <v>822</v>
      </c>
    </row>
    <row r="575" spans="1:14">
      <c r="A575" t="s">
        <v>1484</v>
      </c>
      <c r="B575" t="s">
        <v>317</v>
      </c>
      <c r="C575" t="s">
        <v>1328</v>
      </c>
      <c r="D575" t="s">
        <v>52</v>
      </c>
      <c r="E575" t="s">
        <v>27</v>
      </c>
      <c r="F575" t="s">
        <v>125</v>
      </c>
      <c r="G575">
        <v>4</v>
      </c>
      <c r="H575">
        <v>6</v>
      </c>
      <c r="I575">
        <v>24</v>
      </c>
      <c r="J575">
        <v>15.9</v>
      </c>
      <c r="K575">
        <v>8.1</v>
      </c>
      <c r="L575" t="s">
        <v>53</v>
      </c>
      <c r="M575" t="s">
        <v>54</v>
      </c>
      <c r="N575" t="s">
        <v>216</v>
      </c>
    </row>
    <row r="576" spans="1:14">
      <c r="A576" t="s">
        <v>1485</v>
      </c>
      <c r="B576" t="s">
        <v>903</v>
      </c>
      <c r="C576" t="s">
        <v>1486</v>
      </c>
      <c r="D576" t="s">
        <v>69</v>
      </c>
      <c r="E576" t="s">
        <v>74</v>
      </c>
      <c r="F576" t="s">
        <v>83</v>
      </c>
      <c r="G576">
        <v>2</v>
      </c>
      <c r="H576">
        <v>6.36</v>
      </c>
      <c r="I576">
        <v>12.72</v>
      </c>
      <c r="J576">
        <v>6.07</v>
      </c>
      <c r="K576">
        <v>6.65</v>
      </c>
      <c r="L576" t="s">
        <v>53</v>
      </c>
      <c r="M576" t="s">
        <v>21</v>
      </c>
      <c r="N576" t="s">
        <v>101</v>
      </c>
    </row>
    <row r="577" spans="1:14">
      <c r="A577" t="s">
        <v>1487</v>
      </c>
      <c r="B577" t="s">
        <v>628</v>
      </c>
      <c r="C577" t="s">
        <v>1488</v>
      </c>
      <c r="D577" t="s">
        <v>17</v>
      </c>
      <c r="E577" t="s">
        <v>34</v>
      </c>
      <c r="F577" t="s">
        <v>47</v>
      </c>
      <c r="G577">
        <v>2</v>
      </c>
      <c r="H577">
        <v>6.82</v>
      </c>
      <c r="I577">
        <v>13.64</v>
      </c>
      <c r="J577">
        <v>8.5</v>
      </c>
      <c r="K577">
        <v>5.14</v>
      </c>
      <c r="L577" t="s">
        <v>20</v>
      </c>
      <c r="M577" t="s">
        <v>29</v>
      </c>
      <c r="N577" t="s">
        <v>22</v>
      </c>
    </row>
    <row r="578" spans="1:14">
      <c r="A578" t="s">
        <v>1489</v>
      </c>
      <c r="B578" t="s">
        <v>981</v>
      </c>
      <c r="C578" t="s">
        <v>1490</v>
      </c>
      <c r="D578" t="s">
        <v>46</v>
      </c>
      <c r="E578" t="s">
        <v>74</v>
      </c>
      <c r="F578" t="s">
        <v>83</v>
      </c>
      <c r="G578">
        <v>1</v>
      </c>
      <c r="H578">
        <v>7.9</v>
      </c>
      <c r="I578">
        <v>7.9</v>
      </c>
      <c r="J578">
        <v>4.31</v>
      </c>
      <c r="K578">
        <v>3.59</v>
      </c>
      <c r="L578" t="s">
        <v>60</v>
      </c>
      <c r="M578" t="s">
        <v>21</v>
      </c>
      <c r="N578" t="s">
        <v>187</v>
      </c>
    </row>
    <row r="579" spans="1:14">
      <c r="A579" t="s">
        <v>1491</v>
      </c>
      <c r="B579" t="s">
        <v>263</v>
      </c>
      <c r="C579" t="s">
        <v>1145</v>
      </c>
      <c r="D579" t="s">
        <v>26</v>
      </c>
      <c r="E579" t="s">
        <v>34</v>
      </c>
      <c r="F579" t="s">
        <v>35</v>
      </c>
      <c r="G579">
        <v>1</v>
      </c>
      <c r="H579">
        <v>6.71</v>
      </c>
      <c r="I579">
        <v>6.71</v>
      </c>
      <c r="J579">
        <v>3.2</v>
      </c>
      <c r="K579">
        <v>3.51</v>
      </c>
      <c r="L579" t="s">
        <v>36</v>
      </c>
      <c r="M579" t="s">
        <v>21</v>
      </c>
      <c r="N579" t="s">
        <v>513</v>
      </c>
    </row>
    <row r="580" spans="1:14">
      <c r="A580" t="s">
        <v>1492</v>
      </c>
      <c r="B580" t="s">
        <v>1493</v>
      </c>
      <c r="C580" t="s">
        <v>1494</v>
      </c>
      <c r="D580" t="s">
        <v>52</v>
      </c>
      <c r="E580" t="s">
        <v>18</v>
      </c>
      <c r="F580" t="s">
        <v>41</v>
      </c>
      <c r="G580">
        <v>4</v>
      </c>
      <c r="H580">
        <v>6.58</v>
      </c>
      <c r="I580">
        <v>26.32</v>
      </c>
      <c r="J580">
        <v>15.66</v>
      </c>
      <c r="K580">
        <v>10.66</v>
      </c>
      <c r="L580" t="s">
        <v>60</v>
      </c>
      <c r="M580" t="s">
        <v>29</v>
      </c>
      <c r="N580" t="s">
        <v>451</v>
      </c>
    </row>
    <row r="581" spans="1:14">
      <c r="A581" t="s">
        <v>1495</v>
      </c>
      <c r="B581" t="s">
        <v>1324</v>
      </c>
      <c r="C581" t="s">
        <v>1496</v>
      </c>
      <c r="D581" t="s">
        <v>17</v>
      </c>
      <c r="E581" t="s">
        <v>27</v>
      </c>
      <c r="F581" t="s">
        <v>169</v>
      </c>
      <c r="G581">
        <v>1</v>
      </c>
      <c r="H581">
        <v>5.79</v>
      </c>
      <c r="I581">
        <v>5.79</v>
      </c>
      <c r="J581">
        <v>3.88</v>
      </c>
      <c r="K581">
        <v>1.91</v>
      </c>
      <c r="L581" t="s">
        <v>60</v>
      </c>
      <c r="M581" t="s">
        <v>21</v>
      </c>
      <c r="N581" t="s">
        <v>177</v>
      </c>
    </row>
    <row r="582" spans="1:14">
      <c r="A582" t="s">
        <v>1497</v>
      </c>
      <c r="B582" t="s">
        <v>360</v>
      </c>
      <c r="C582" t="s">
        <v>929</v>
      </c>
      <c r="D582" t="s">
        <v>26</v>
      </c>
      <c r="E582" t="s">
        <v>18</v>
      </c>
      <c r="F582" t="s">
        <v>146</v>
      </c>
      <c r="G582">
        <v>4</v>
      </c>
      <c r="H582">
        <v>4.22</v>
      </c>
      <c r="I582">
        <v>16.88</v>
      </c>
      <c r="J582">
        <v>10.29</v>
      </c>
      <c r="K582">
        <v>6.59</v>
      </c>
      <c r="L582" t="s">
        <v>36</v>
      </c>
      <c r="M582" t="s">
        <v>21</v>
      </c>
      <c r="N582" t="s">
        <v>550</v>
      </c>
    </row>
    <row r="583" spans="1:14">
      <c r="A583" t="s">
        <v>1498</v>
      </c>
      <c r="B583" t="s">
        <v>1499</v>
      </c>
      <c r="C583" t="s">
        <v>1196</v>
      </c>
      <c r="D583" t="s">
        <v>17</v>
      </c>
      <c r="E583" t="s">
        <v>18</v>
      </c>
      <c r="F583" t="s">
        <v>19</v>
      </c>
      <c r="G583">
        <v>4</v>
      </c>
      <c r="H583">
        <v>3.2</v>
      </c>
      <c r="I583">
        <v>12.8</v>
      </c>
      <c r="J583">
        <v>7.99</v>
      </c>
      <c r="K583">
        <v>4.81</v>
      </c>
      <c r="L583" t="s">
        <v>36</v>
      </c>
      <c r="M583" t="s">
        <v>29</v>
      </c>
      <c r="N583" t="s">
        <v>65</v>
      </c>
    </row>
    <row r="584" spans="1:14">
      <c r="A584" t="s">
        <v>1500</v>
      </c>
      <c r="B584" t="s">
        <v>228</v>
      </c>
      <c r="C584" t="s">
        <v>1501</v>
      </c>
      <c r="D584" t="s">
        <v>17</v>
      </c>
      <c r="E584" t="s">
        <v>74</v>
      </c>
      <c r="F584" t="s">
        <v>92</v>
      </c>
      <c r="G584">
        <v>5</v>
      </c>
      <c r="H584">
        <v>3.92</v>
      </c>
      <c r="I584">
        <v>19.6</v>
      </c>
      <c r="J584">
        <v>9.91</v>
      </c>
      <c r="K584">
        <v>9.69</v>
      </c>
      <c r="L584" t="s">
        <v>20</v>
      </c>
      <c r="M584" t="s">
        <v>54</v>
      </c>
      <c r="N584" t="s">
        <v>896</v>
      </c>
    </row>
    <row r="585" spans="1:14">
      <c r="A585" t="s">
        <v>1502</v>
      </c>
      <c r="B585" t="s">
        <v>964</v>
      </c>
      <c r="C585" t="s">
        <v>1503</v>
      </c>
      <c r="D585" t="s">
        <v>17</v>
      </c>
      <c r="E585" t="s">
        <v>74</v>
      </c>
      <c r="F585" t="s">
        <v>83</v>
      </c>
      <c r="G585">
        <v>3</v>
      </c>
      <c r="H585">
        <v>2.8</v>
      </c>
      <c r="I585">
        <v>8.4</v>
      </c>
      <c r="J585">
        <v>4.13</v>
      </c>
      <c r="K585">
        <v>4.27</v>
      </c>
      <c r="L585" t="s">
        <v>53</v>
      </c>
      <c r="M585" t="s">
        <v>21</v>
      </c>
      <c r="N585" t="s">
        <v>261</v>
      </c>
    </row>
    <row r="586" spans="1:14">
      <c r="A586" t="s">
        <v>1504</v>
      </c>
      <c r="B586" t="s">
        <v>1026</v>
      </c>
      <c r="C586" t="s">
        <v>1139</v>
      </c>
      <c r="D586" t="s">
        <v>17</v>
      </c>
      <c r="E586" t="s">
        <v>27</v>
      </c>
      <c r="F586" t="s">
        <v>70</v>
      </c>
      <c r="G586">
        <v>3</v>
      </c>
      <c r="H586">
        <v>3.7</v>
      </c>
      <c r="I586">
        <v>11.1</v>
      </c>
      <c r="J586">
        <v>5.34</v>
      </c>
      <c r="K586">
        <v>5.76</v>
      </c>
      <c r="L586" t="s">
        <v>36</v>
      </c>
      <c r="M586" t="s">
        <v>54</v>
      </c>
      <c r="N586" t="s">
        <v>644</v>
      </c>
    </row>
    <row r="587" spans="1:14">
      <c r="A587" t="s">
        <v>1505</v>
      </c>
      <c r="B587" t="s">
        <v>1315</v>
      </c>
      <c r="C587" t="s">
        <v>1506</v>
      </c>
      <c r="D587" t="s">
        <v>52</v>
      </c>
      <c r="E587" t="s">
        <v>34</v>
      </c>
      <c r="F587" t="s">
        <v>135</v>
      </c>
      <c r="G587">
        <v>1</v>
      </c>
      <c r="H587">
        <v>7.25</v>
      </c>
      <c r="I587">
        <v>7.25</v>
      </c>
      <c r="J587">
        <v>4.54</v>
      </c>
      <c r="K587">
        <v>2.71</v>
      </c>
      <c r="L587" t="s">
        <v>20</v>
      </c>
      <c r="M587" t="s">
        <v>54</v>
      </c>
      <c r="N587" t="s">
        <v>783</v>
      </c>
    </row>
    <row r="588" spans="1:14">
      <c r="A588" t="s">
        <v>1507</v>
      </c>
      <c r="B588" t="s">
        <v>811</v>
      </c>
      <c r="C588" t="s">
        <v>1508</v>
      </c>
      <c r="D588" t="s">
        <v>52</v>
      </c>
      <c r="E588" t="s">
        <v>74</v>
      </c>
      <c r="F588" t="s">
        <v>92</v>
      </c>
      <c r="G588">
        <v>5</v>
      </c>
      <c r="H588">
        <v>6.5</v>
      </c>
      <c r="I588">
        <v>32.5</v>
      </c>
      <c r="J588">
        <v>20.32</v>
      </c>
      <c r="K588">
        <v>12.18</v>
      </c>
      <c r="L588" t="s">
        <v>20</v>
      </c>
      <c r="M588" t="s">
        <v>54</v>
      </c>
      <c r="N588" t="s">
        <v>841</v>
      </c>
    </row>
    <row r="589" spans="1:14">
      <c r="A589" t="s">
        <v>1509</v>
      </c>
      <c r="B589" t="s">
        <v>418</v>
      </c>
      <c r="C589" t="s">
        <v>1488</v>
      </c>
      <c r="D589" t="s">
        <v>17</v>
      </c>
      <c r="E589" t="s">
        <v>34</v>
      </c>
      <c r="F589" t="s">
        <v>135</v>
      </c>
      <c r="G589">
        <v>1</v>
      </c>
      <c r="H589">
        <v>7.54</v>
      </c>
      <c r="I589">
        <v>7.54</v>
      </c>
      <c r="J589">
        <v>4.24</v>
      </c>
      <c r="K589">
        <v>3.3</v>
      </c>
      <c r="L589" t="s">
        <v>20</v>
      </c>
      <c r="M589" t="s">
        <v>21</v>
      </c>
      <c r="N589" t="s">
        <v>261</v>
      </c>
    </row>
    <row r="590" spans="1:14">
      <c r="A590" t="s">
        <v>1510</v>
      </c>
      <c r="B590" t="s">
        <v>1511</v>
      </c>
      <c r="C590" t="s">
        <v>1512</v>
      </c>
      <c r="D590" t="s">
        <v>52</v>
      </c>
      <c r="E590" t="s">
        <v>18</v>
      </c>
      <c r="F590" t="s">
        <v>19</v>
      </c>
      <c r="G590">
        <v>5</v>
      </c>
      <c r="H590">
        <v>7.72</v>
      </c>
      <c r="I590">
        <v>38.6</v>
      </c>
      <c r="J590">
        <v>24.46</v>
      </c>
      <c r="K590">
        <v>14.14</v>
      </c>
      <c r="L590" t="s">
        <v>60</v>
      </c>
      <c r="M590" t="s">
        <v>29</v>
      </c>
      <c r="N590" t="s">
        <v>794</v>
      </c>
    </row>
    <row r="591" spans="1:14">
      <c r="A591" t="s">
        <v>1513</v>
      </c>
      <c r="B591" t="s">
        <v>328</v>
      </c>
      <c r="C591" t="s">
        <v>1514</v>
      </c>
      <c r="D591" t="s">
        <v>69</v>
      </c>
      <c r="E591" t="s">
        <v>74</v>
      </c>
      <c r="F591" t="s">
        <v>83</v>
      </c>
      <c r="G591">
        <v>3</v>
      </c>
      <c r="H591">
        <v>4.19</v>
      </c>
      <c r="I591">
        <v>12.57</v>
      </c>
      <c r="J591">
        <v>7.38</v>
      </c>
      <c r="K591">
        <v>5.19</v>
      </c>
      <c r="L591" t="s">
        <v>60</v>
      </c>
      <c r="M591" t="s">
        <v>54</v>
      </c>
      <c r="N591" t="s">
        <v>174</v>
      </c>
    </row>
    <row r="592" spans="1:14">
      <c r="A592" t="s">
        <v>1515</v>
      </c>
      <c r="B592" t="s">
        <v>392</v>
      </c>
      <c r="C592" t="s">
        <v>604</v>
      </c>
      <c r="D592" t="s">
        <v>46</v>
      </c>
      <c r="E592" t="s">
        <v>34</v>
      </c>
      <c r="F592" t="s">
        <v>59</v>
      </c>
      <c r="G592">
        <v>4</v>
      </c>
      <c r="H592">
        <v>5.2</v>
      </c>
      <c r="I592">
        <v>20.8</v>
      </c>
      <c r="J592">
        <v>9.57</v>
      </c>
      <c r="K592">
        <v>11.23</v>
      </c>
      <c r="L592" t="s">
        <v>20</v>
      </c>
      <c r="M592" t="s">
        <v>54</v>
      </c>
      <c r="N592" t="s">
        <v>212</v>
      </c>
    </row>
    <row r="593" spans="1:14">
      <c r="A593" t="s">
        <v>1516</v>
      </c>
      <c r="B593" t="s">
        <v>1144</v>
      </c>
      <c r="C593" t="s">
        <v>1517</v>
      </c>
      <c r="D593" t="s">
        <v>26</v>
      </c>
      <c r="E593" t="s">
        <v>27</v>
      </c>
      <c r="F593" t="s">
        <v>169</v>
      </c>
      <c r="G593">
        <v>5</v>
      </c>
      <c r="H593">
        <v>3.92</v>
      </c>
      <c r="I593">
        <v>19.6</v>
      </c>
      <c r="J593">
        <v>10.44</v>
      </c>
      <c r="K593">
        <v>9.16</v>
      </c>
      <c r="L593" t="s">
        <v>60</v>
      </c>
      <c r="M593" t="s">
        <v>21</v>
      </c>
      <c r="N593" t="s">
        <v>326</v>
      </c>
    </row>
    <row r="594" spans="1:14">
      <c r="A594" t="s">
        <v>1518</v>
      </c>
      <c r="B594" t="s">
        <v>336</v>
      </c>
      <c r="C594" t="s">
        <v>682</v>
      </c>
      <c r="D594" t="s">
        <v>52</v>
      </c>
      <c r="E594" t="s">
        <v>18</v>
      </c>
      <c r="F594" t="s">
        <v>146</v>
      </c>
      <c r="G594">
        <v>1</v>
      </c>
      <c r="H594">
        <v>4.53</v>
      </c>
      <c r="I594">
        <v>4.53</v>
      </c>
      <c r="J594">
        <v>2.5</v>
      </c>
      <c r="K594">
        <v>2.03</v>
      </c>
      <c r="L594" t="s">
        <v>53</v>
      </c>
      <c r="M594" t="s">
        <v>29</v>
      </c>
      <c r="N594" t="s">
        <v>165</v>
      </c>
    </row>
    <row r="595" spans="1:14">
      <c r="A595" t="s">
        <v>1519</v>
      </c>
      <c r="B595" t="s">
        <v>1520</v>
      </c>
      <c r="C595" t="s">
        <v>1521</v>
      </c>
      <c r="D595" t="s">
        <v>69</v>
      </c>
      <c r="E595" t="s">
        <v>27</v>
      </c>
      <c r="F595" t="s">
        <v>28</v>
      </c>
      <c r="G595">
        <v>2</v>
      </c>
      <c r="H595">
        <v>3.09</v>
      </c>
      <c r="I595">
        <v>6.18</v>
      </c>
      <c r="J595">
        <v>3.18</v>
      </c>
      <c r="K595">
        <v>3</v>
      </c>
      <c r="L595" t="s">
        <v>36</v>
      </c>
      <c r="M595" t="s">
        <v>54</v>
      </c>
      <c r="N595" t="s">
        <v>896</v>
      </c>
    </row>
    <row r="596" spans="1:14">
      <c r="A596" t="s">
        <v>1522</v>
      </c>
      <c r="B596" t="s">
        <v>1523</v>
      </c>
      <c r="C596" t="s">
        <v>1524</v>
      </c>
      <c r="D596" t="s">
        <v>69</v>
      </c>
      <c r="E596" t="s">
        <v>18</v>
      </c>
      <c r="F596" t="s">
        <v>19</v>
      </c>
      <c r="G596">
        <v>4</v>
      </c>
      <c r="H596">
        <v>3.91</v>
      </c>
      <c r="I596">
        <v>15.64</v>
      </c>
      <c r="J596">
        <v>8.35</v>
      </c>
      <c r="K596">
        <v>7.29</v>
      </c>
      <c r="L596" t="s">
        <v>20</v>
      </c>
      <c r="M596" t="s">
        <v>29</v>
      </c>
      <c r="N596" t="s">
        <v>65</v>
      </c>
    </row>
    <row r="597" spans="1:14">
      <c r="A597" t="s">
        <v>1525</v>
      </c>
      <c r="B597" t="s">
        <v>919</v>
      </c>
      <c r="C597" t="s">
        <v>1035</v>
      </c>
      <c r="D597" t="s">
        <v>26</v>
      </c>
      <c r="E597" t="s">
        <v>18</v>
      </c>
      <c r="F597" t="s">
        <v>146</v>
      </c>
      <c r="G597">
        <v>3</v>
      </c>
      <c r="H597">
        <v>6.76</v>
      </c>
      <c r="I597">
        <v>20.28</v>
      </c>
      <c r="J597">
        <v>14.09</v>
      </c>
      <c r="K597">
        <v>6.19</v>
      </c>
      <c r="L597" t="s">
        <v>20</v>
      </c>
      <c r="M597" t="s">
        <v>21</v>
      </c>
      <c r="N597" t="s">
        <v>796</v>
      </c>
    </row>
    <row r="598" spans="1:14">
      <c r="A598" t="s">
        <v>1526</v>
      </c>
      <c r="B598" t="s">
        <v>555</v>
      </c>
      <c r="C598" t="s">
        <v>1527</v>
      </c>
      <c r="D598" t="s">
        <v>69</v>
      </c>
      <c r="E598" t="s">
        <v>27</v>
      </c>
      <c r="F598" t="s">
        <v>125</v>
      </c>
      <c r="G598">
        <v>2</v>
      </c>
      <c r="H598">
        <v>3.74</v>
      </c>
      <c r="I598">
        <v>7.48</v>
      </c>
      <c r="J598">
        <v>3.75</v>
      </c>
      <c r="K598">
        <v>3.73</v>
      </c>
      <c r="L598" t="s">
        <v>53</v>
      </c>
      <c r="M598" t="s">
        <v>21</v>
      </c>
      <c r="N598" t="s">
        <v>401</v>
      </c>
    </row>
    <row r="599" spans="1:14">
      <c r="A599" t="s">
        <v>1528</v>
      </c>
      <c r="B599" t="s">
        <v>1529</v>
      </c>
      <c r="C599" t="s">
        <v>1530</v>
      </c>
      <c r="D599" t="s">
        <v>52</v>
      </c>
      <c r="E599" t="s">
        <v>27</v>
      </c>
      <c r="F599" t="s">
        <v>125</v>
      </c>
      <c r="G599">
        <v>5</v>
      </c>
      <c r="H599">
        <v>7.94</v>
      </c>
      <c r="I599">
        <v>39.7</v>
      </c>
      <c r="J599">
        <v>27.64</v>
      </c>
      <c r="K599">
        <v>12.06</v>
      </c>
      <c r="L599" t="s">
        <v>53</v>
      </c>
      <c r="M599" t="s">
        <v>21</v>
      </c>
      <c r="N599" t="s">
        <v>257</v>
      </c>
    </row>
    <row r="600" spans="1:14">
      <c r="A600" t="s">
        <v>1531</v>
      </c>
      <c r="B600" t="s">
        <v>1532</v>
      </c>
      <c r="C600" t="s">
        <v>805</v>
      </c>
      <c r="D600" t="s">
        <v>52</v>
      </c>
      <c r="E600" t="s">
        <v>27</v>
      </c>
      <c r="F600" t="s">
        <v>169</v>
      </c>
      <c r="G600">
        <v>2</v>
      </c>
      <c r="H600">
        <v>6.73</v>
      </c>
      <c r="I600">
        <v>13.46</v>
      </c>
      <c r="J600">
        <v>6.47</v>
      </c>
      <c r="K600">
        <v>6.99</v>
      </c>
      <c r="L600" t="s">
        <v>60</v>
      </c>
      <c r="M600" t="s">
        <v>54</v>
      </c>
      <c r="N600" t="s">
        <v>466</v>
      </c>
    </row>
    <row r="601" spans="1:14">
      <c r="A601" t="s">
        <v>1533</v>
      </c>
      <c r="B601" t="s">
        <v>218</v>
      </c>
      <c r="C601" t="s">
        <v>1534</v>
      </c>
      <c r="D601" t="s">
        <v>69</v>
      </c>
      <c r="E601" t="s">
        <v>27</v>
      </c>
      <c r="F601" t="s">
        <v>70</v>
      </c>
      <c r="G601">
        <v>3</v>
      </c>
      <c r="H601">
        <v>7.59</v>
      </c>
      <c r="I601">
        <v>22.77</v>
      </c>
      <c r="J601">
        <v>15.23</v>
      </c>
      <c r="K601">
        <v>7.54</v>
      </c>
      <c r="L601" t="s">
        <v>36</v>
      </c>
      <c r="M601" t="s">
        <v>21</v>
      </c>
      <c r="N601" t="s">
        <v>65</v>
      </c>
    </row>
    <row r="602" spans="1:14">
      <c r="A602" t="s">
        <v>1535</v>
      </c>
      <c r="B602" t="s">
        <v>1476</v>
      </c>
      <c r="C602" t="s">
        <v>496</v>
      </c>
      <c r="D602" t="s">
        <v>46</v>
      </c>
      <c r="E602" t="s">
        <v>27</v>
      </c>
      <c r="F602" t="s">
        <v>28</v>
      </c>
      <c r="G602">
        <v>2</v>
      </c>
      <c r="H602">
        <v>3.87</v>
      </c>
      <c r="I602">
        <v>7.74</v>
      </c>
      <c r="J602">
        <v>5.06</v>
      </c>
      <c r="K602">
        <v>2.68</v>
      </c>
      <c r="L602" t="s">
        <v>36</v>
      </c>
      <c r="M602" t="s">
        <v>54</v>
      </c>
      <c r="N602" t="s">
        <v>209</v>
      </c>
    </row>
    <row r="603" spans="1:14">
      <c r="A603" t="s">
        <v>1536</v>
      </c>
      <c r="B603" t="s">
        <v>324</v>
      </c>
      <c r="C603" t="s">
        <v>1537</v>
      </c>
      <c r="D603" t="s">
        <v>69</v>
      </c>
      <c r="E603" t="s">
        <v>27</v>
      </c>
      <c r="F603" t="s">
        <v>70</v>
      </c>
      <c r="G603">
        <v>2</v>
      </c>
      <c r="H603">
        <v>5.41</v>
      </c>
      <c r="I603">
        <v>10.82</v>
      </c>
      <c r="J603">
        <v>6.39</v>
      </c>
      <c r="K603">
        <v>4.43</v>
      </c>
      <c r="L603" t="s">
        <v>36</v>
      </c>
      <c r="M603" t="s">
        <v>29</v>
      </c>
      <c r="N603" t="s">
        <v>61</v>
      </c>
    </row>
    <row r="604" spans="1:14">
      <c r="A604" t="s">
        <v>1538</v>
      </c>
      <c r="B604" t="s">
        <v>935</v>
      </c>
      <c r="C604" t="s">
        <v>1539</v>
      </c>
      <c r="D604" t="s">
        <v>17</v>
      </c>
      <c r="E604" t="s">
        <v>74</v>
      </c>
      <c r="F604" t="s">
        <v>83</v>
      </c>
      <c r="G604">
        <v>4</v>
      </c>
      <c r="H604">
        <v>3.57</v>
      </c>
      <c r="I604">
        <v>14.28</v>
      </c>
      <c r="J604">
        <v>8.09</v>
      </c>
      <c r="K604">
        <v>6.19</v>
      </c>
      <c r="L604" t="s">
        <v>53</v>
      </c>
      <c r="M604" t="s">
        <v>54</v>
      </c>
      <c r="N604" t="s">
        <v>507</v>
      </c>
    </row>
    <row r="605" spans="1:14">
      <c r="A605" t="s">
        <v>1540</v>
      </c>
      <c r="B605" t="s">
        <v>1541</v>
      </c>
      <c r="C605" t="s">
        <v>1542</v>
      </c>
      <c r="D605" t="s">
        <v>46</v>
      </c>
      <c r="E605" t="s">
        <v>27</v>
      </c>
      <c r="F605" t="s">
        <v>70</v>
      </c>
      <c r="G605">
        <v>3</v>
      </c>
      <c r="H605">
        <v>3.9</v>
      </c>
      <c r="I605">
        <v>11.7</v>
      </c>
      <c r="J605">
        <v>5.34</v>
      </c>
      <c r="K605">
        <v>6.36</v>
      </c>
      <c r="L605" t="s">
        <v>60</v>
      </c>
      <c r="M605" t="s">
        <v>54</v>
      </c>
      <c r="N605" t="s">
        <v>368</v>
      </c>
    </row>
    <row r="606" spans="1:14">
      <c r="A606" t="s">
        <v>1543</v>
      </c>
      <c r="B606" t="s">
        <v>1071</v>
      </c>
      <c r="C606" t="s">
        <v>1544</v>
      </c>
      <c r="D606" t="s">
        <v>69</v>
      </c>
      <c r="E606" t="s">
        <v>27</v>
      </c>
      <c r="F606" t="s">
        <v>70</v>
      </c>
      <c r="G606">
        <v>4</v>
      </c>
      <c r="H606">
        <v>3.2</v>
      </c>
      <c r="I606">
        <v>12.8</v>
      </c>
      <c r="J606">
        <v>8.58</v>
      </c>
      <c r="K606">
        <v>4.22</v>
      </c>
      <c r="L606" t="s">
        <v>53</v>
      </c>
      <c r="M606" t="s">
        <v>21</v>
      </c>
      <c r="N606" t="s">
        <v>242</v>
      </c>
    </row>
    <row r="607" spans="1:14">
      <c r="A607" t="s">
        <v>1545</v>
      </c>
      <c r="B607" t="s">
        <v>1012</v>
      </c>
      <c r="C607" t="s">
        <v>121</v>
      </c>
      <c r="D607" t="s">
        <v>26</v>
      </c>
      <c r="E607" t="s">
        <v>18</v>
      </c>
      <c r="F607" t="s">
        <v>146</v>
      </c>
      <c r="G607">
        <v>1</v>
      </c>
      <c r="H607">
        <v>6.47</v>
      </c>
      <c r="I607">
        <v>6.47</v>
      </c>
      <c r="J607">
        <v>4.51</v>
      </c>
      <c r="K607">
        <v>1.96</v>
      </c>
      <c r="L607" t="s">
        <v>36</v>
      </c>
      <c r="M607" t="s">
        <v>29</v>
      </c>
      <c r="N607" t="s">
        <v>131</v>
      </c>
    </row>
    <row r="608" spans="1:14">
      <c r="A608" t="s">
        <v>1546</v>
      </c>
      <c r="B608" t="s">
        <v>1547</v>
      </c>
      <c r="C608" t="s">
        <v>1548</v>
      </c>
      <c r="D608" t="s">
        <v>26</v>
      </c>
      <c r="E608" t="s">
        <v>27</v>
      </c>
      <c r="F608" t="s">
        <v>28</v>
      </c>
      <c r="G608">
        <v>2</v>
      </c>
      <c r="H608">
        <v>5.78</v>
      </c>
      <c r="I608">
        <v>11.56</v>
      </c>
      <c r="J608">
        <v>7.3</v>
      </c>
      <c r="K608">
        <v>4.26</v>
      </c>
      <c r="L608" t="s">
        <v>60</v>
      </c>
      <c r="M608" t="s">
        <v>54</v>
      </c>
      <c r="N608" t="s">
        <v>794</v>
      </c>
    </row>
    <row r="609" spans="1:14">
      <c r="A609" t="s">
        <v>1549</v>
      </c>
      <c r="B609" t="s">
        <v>1550</v>
      </c>
      <c r="C609" t="s">
        <v>186</v>
      </c>
      <c r="D609" t="s">
        <v>17</v>
      </c>
      <c r="E609" t="s">
        <v>34</v>
      </c>
      <c r="F609" t="s">
        <v>130</v>
      </c>
      <c r="G609">
        <v>2</v>
      </c>
      <c r="H609">
        <v>3.54</v>
      </c>
      <c r="I609">
        <v>7.08</v>
      </c>
      <c r="J609">
        <v>3.9</v>
      </c>
      <c r="K609">
        <v>3.18</v>
      </c>
      <c r="L609" t="s">
        <v>53</v>
      </c>
      <c r="M609" t="s">
        <v>54</v>
      </c>
      <c r="N609" t="s">
        <v>261</v>
      </c>
    </row>
    <row r="610" spans="1:14">
      <c r="A610" t="s">
        <v>1551</v>
      </c>
      <c r="B610" t="s">
        <v>713</v>
      </c>
      <c r="C610" t="s">
        <v>950</v>
      </c>
      <c r="D610" t="s">
        <v>17</v>
      </c>
      <c r="E610" t="s">
        <v>27</v>
      </c>
      <c r="F610" t="s">
        <v>125</v>
      </c>
      <c r="G610">
        <v>1</v>
      </c>
      <c r="H610">
        <v>7.55</v>
      </c>
      <c r="I610">
        <v>7.55</v>
      </c>
      <c r="J610">
        <v>5.27</v>
      </c>
      <c r="K610">
        <v>2.28</v>
      </c>
      <c r="L610" t="s">
        <v>53</v>
      </c>
      <c r="M610" t="s">
        <v>29</v>
      </c>
      <c r="N610" t="s">
        <v>126</v>
      </c>
    </row>
    <row r="611" spans="1:14">
      <c r="A611" t="s">
        <v>1552</v>
      </c>
      <c r="B611" t="s">
        <v>858</v>
      </c>
      <c r="C611" t="s">
        <v>1553</v>
      </c>
      <c r="D611" t="s">
        <v>26</v>
      </c>
      <c r="E611" t="s">
        <v>27</v>
      </c>
      <c r="F611" t="s">
        <v>70</v>
      </c>
      <c r="G611">
        <v>2</v>
      </c>
      <c r="H611">
        <v>3.89</v>
      </c>
      <c r="I611">
        <v>7.78</v>
      </c>
      <c r="J611">
        <v>3.77</v>
      </c>
      <c r="K611">
        <v>4.01</v>
      </c>
      <c r="L611" t="s">
        <v>53</v>
      </c>
      <c r="M611" t="s">
        <v>21</v>
      </c>
      <c r="N611" t="s">
        <v>261</v>
      </c>
    </row>
    <row r="612" spans="1:14">
      <c r="A612" t="s">
        <v>1554</v>
      </c>
      <c r="B612" t="s">
        <v>1315</v>
      </c>
      <c r="C612" t="s">
        <v>901</v>
      </c>
      <c r="D612" t="s">
        <v>52</v>
      </c>
      <c r="E612" t="s">
        <v>74</v>
      </c>
      <c r="F612" t="s">
        <v>75</v>
      </c>
      <c r="G612">
        <v>4</v>
      </c>
      <c r="H612">
        <v>7.94</v>
      </c>
      <c r="I612">
        <v>31.76</v>
      </c>
      <c r="J612">
        <v>16.29</v>
      </c>
      <c r="K612">
        <v>15.47</v>
      </c>
      <c r="L612" t="s">
        <v>20</v>
      </c>
      <c r="M612" t="s">
        <v>21</v>
      </c>
      <c r="N612" t="s">
        <v>744</v>
      </c>
    </row>
    <row r="613" spans="1:14">
      <c r="A613" t="s">
        <v>1555</v>
      </c>
      <c r="B613" t="s">
        <v>578</v>
      </c>
      <c r="C613" t="s">
        <v>1556</v>
      </c>
      <c r="D613" t="s">
        <v>26</v>
      </c>
      <c r="E613" t="s">
        <v>34</v>
      </c>
      <c r="F613" t="s">
        <v>59</v>
      </c>
      <c r="G613">
        <v>4</v>
      </c>
      <c r="H613">
        <v>4.06</v>
      </c>
      <c r="I613">
        <v>16.24</v>
      </c>
      <c r="J613">
        <v>11.14</v>
      </c>
      <c r="K613">
        <v>5.1</v>
      </c>
      <c r="L613" t="s">
        <v>20</v>
      </c>
      <c r="M613" t="s">
        <v>54</v>
      </c>
      <c r="N613" t="s">
        <v>431</v>
      </c>
    </row>
    <row r="614" spans="1:14">
      <c r="A614" t="s">
        <v>1557</v>
      </c>
      <c r="B614" t="s">
        <v>456</v>
      </c>
      <c r="C614" t="s">
        <v>929</v>
      </c>
      <c r="D614" t="s">
        <v>26</v>
      </c>
      <c r="E614" t="s">
        <v>34</v>
      </c>
      <c r="F614" t="s">
        <v>47</v>
      </c>
      <c r="G614">
        <v>1</v>
      </c>
      <c r="H614">
        <v>6.67</v>
      </c>
      <c r="I614">
        <v>6.67</v>
      </c>
      <c r="J614">
        <v>3.76</v>
      </c>
      <c r="K614">
        <v>2.91</v>
      </c>
      <c r="L614" t="s">
        <v>36</v>
      </c>
      <c r="M614" t="s">
        <v>29</v>
      </c>
      <c r="N614" t="s">
        <v>534</v>
      </c>
    </row>
    <row r="615" spans="1:14">
      <c r="A615" t="s">
        <v>1558</v>
      </c>
      <c r="B615" t="s">
        <v>228</v>
      </c>
      <c r="C615" t="s">
        <v>1559</v>
      </c>
      <c r="D615" t="s">
        <v>52</v>
      </c>
      <c r="E615" t="s">
        <v>34</v>
      </c>
      <c r="F615" t="s">
        <v>35</v>
      </c>
      <c r="G615">
        <v>2</v>
      </c>
      <c r="H615">
        <v>6.31</v>
      </c>
      <c r="I615">
        <v>12.62</v>
      </c>
      <c r="J615">
        <v>8.3</v>
      </c>
      <c r="K615">
        <v>4.32</v>
      </c>
      <c r="L615" t="s">
        <v>60</v>
      </c>
      <c r="M615" t="s">
        <v>29</v>
      </c>
      <c r="N615" t="s">
        <v>862</v>
      </c>
    </row>
    <row r="616" spans="1:14">
      <c r="A616" t="s">
        <v>1560</v>
      </c>
      <c r="B616" t="s">
        <v>1468</v>
      </c>
      <c r="C616" t="s">
        <v>1470</v>
      </c>
      <c r="D616" t="s">
        <v>17</v>
      </c>
      <c r="E616" t="s">
        <v>74</v>
      </c>
      <c r="F616" t="s">
        <v>75</v>
      </c>
      <c r="G616">
        <v>1</v>
      </c>
      <c r="H616">
        <v>3.22</v>
      </c>
      <c r="I616">
        <v>3.22</v>
      </c>
      <c r="J616">
        <v>2.11</v>
      </c>
      <c r="K616">
        <v>1.11</v>
      </c>
      <c r="L616" t="s">
        <v>36</v>
      </c>
      <c r="M616" t="s">
        <v>29</v>
      </c>
      <c r="N616" t="s">
        <v>257</v>
      </c>
    </row>
    <row r="617" spans="1:14">
      <c r="A617" t="s">
        <v>1561</v>
      </c>
      <c r="B617" t="s">
        <v>885</v>
      </c>
      <c r="C617" t="s">
        <v>1562</v>
      </c>
      <c r="D617" t="s">
        <v>26</v>
      </c>
      <c r="E617" t="s">
        <v>74</v>
      </c>
      <c r="F617" t="s">
        <v>75</v>
      </c>
      <c r="G617">
        <v>5</v>
      </c>
      <c r="H617">
        <v>2.81</v>
      </c>
      <c r="I617">
        <v>14.05</v>
      </c>
      <c r="J617">
        <v>8.82</v>
      </c>
      <c r="K617">
        <v>5.23</v>
      </c>
      <c r="L617" t="s">
        <v>36</v>
      </c>
      <c r="M617" t="s">
        <v>21</v>
      </c>
      <c r="N617" t="s">
        <v>131</v>
      </c>
    </row>
    <row r="618" spans="1:14">
      <c r="A618" t="s">
        <v>1563</v>
      </c>
      <c r="B618" t="s">
        <v>317</v>
      </c>
      <c r="C618" t="s">
        <v>1564</v>
      </c>
      <c r="D618" t="s">
        <v>69</v>
      </c>
      <c r="E618" t="s">
        <v>74</v>
      </c>
      <c r="F618" t="s">
        <v>83</v>
      </c>
      <c r="G618">
        <v>5</v>
      </c>
      <c r="H618">
        <v>3.12</v>
      </c>
      <c r="I618">
        <v>15.6</v>
      </c>
      <c r="J618">
        <v>7.25</v>
      </c>
      <c r="K618">
        <v>8.35</v>
      </c>
      <c r="L618" t="s">
        <v>60</v>
      </c>
      <c r="M618" t="s">
        <v>21</v>
      </c>
      <c r="N618" t="s">
        <v>177</v>
      </c>
    </row>
    <row r="619" spans="1:14">
      <c r="A619" t="s">
        <v>1565</v>
      </c>
      <c r="B619" t="s">
        <v>1566</v>
      </c>
      <c r="C619" t="s">
        <v>716</v>
      </c>
      <c r="D619" t="s">
        <v>69</v>
      </c>
      <c r="E619" t="s">
        <v>27</v>
      </c>
      <c r="F619" t="s">
        <v>169</v>
      </c>
      <c r="G619">
        <v>5</v>
      </c>
      <c r="H619">
        <v>7.38</v>
      </c>
      <c r="I619">
        <v>36.9</v>
      </c>
      <c r="J619">
        <v>18.67</v>
      </c>
      <c r="K619">
        <v>18.23</v>
      </c>
      <c r="L619" t="s">
        <v>36</v>
      </c>
      <c r="M619" t="s">
        <v>29</v>
      </c>
      <c r="N619" t="s">
        <v>1118</v>
      </c>
    </row>
    <row r="620" spans="1:14">
      <c r="A620" t="s">
        <v>1567</v>
      </c>
      <c r="B620" t="s">
        <v>687</v>
      </c>
      <c r="C620" t="s">
        <v>1568</v>
      </c>
      <c r="D620" t="s">
        <v>26</v>
      </c>
      <c r="E620" t="s">
        <v>27</v>
      </c>
      <c r="F620" t="s">
        <v>28</v>
      </c>
      <c r="G620">
        <v>5</v>
      </c>
      <c r="H620">
        <v>6.93</v>
      </c>
      <c r="I620">
        <v>34.65</v>
      </c>
      <c r="J620">
        <v>18.86</v>
      </c>
      <c r="K620">
        <v>15.79</v>
      </c>
      <c r="L620" t="s">
        <v>60</v>
      </c>
      <c r="M620" t="s">
        <v>29</v>
      </c>
      <c r="N620" t="s">
        <v>257</v>
      </c>
    </row>
    <row r="621" spans="1:14">
      <c r="A621" t="s">
        <v>1569</v>
      </c>
      <c r="B621" t="s">
        <v>137</v>
      </c>
      <c r="C621" t="s">
        <v>1339</v>
      </c>
      <c r="D621" t="s">
        <v>17</v>
      </c>
      <c r="E621" t="s">
        <v>74</v>
      </c>
      <c r="F621" t="s">
        <v>75</v>
      </c>
      <c r="G621">
        <v>3</v>
      </c>
      <c r="H621">
        <v>2.87</v>
      </c>
      <c r="I621">
        <v>8.61</v>
      </c>
      <c r="J621">
        <v>4.21</v>
      </c>
      <c r="K621">
        <v>4.4</v>
      </c>
      <c r="L621" t="s">
        <v>36</v>
      </c>
      <c r="M621" t="s">
        <v>21</v>
      </c>
      <c r="N621" t="s">
        <v>174</v>
      </c>
    </row>
    <row r="622" spans="1:14">
      <c r="A622" t="s">
        <v>1570</v>
      </c>
      <c r="B622" t="s">
        <v>308</v>
      </c>
      <c r="C622" t="s">
        <v>1571</v>
      </c>
      <c r="D622" t="s">
        <v>52</v>
      </c>
      <c r="E622" t="s">
        <v>74</v>
      </c>
      <c r="F622" t="s">
        <v>92</v>
      </c>
      <c r="G622">
        <v>5</v>
      </c>
      <c r="H622">
        <v>7.25</v>
      </c>
      <c r="I622">
        <v>36.25</v>
      </c>
      <c r="J622">
        <v>17.86</v>
      </c>
      <c r="K622">
        <v>18.39</v>
      </c>
      <c r="L622" t="s">
        <v>53</v>
      </c>
      <c r="M622" t="s">
        <v>21</v>
      </c>
      <c r="N622" t="s">
        <v>165</v>
      </c>
    </row>
    <row r="623" spans="1:14">
      <c r="A623" t="s">
        <v>1572</v>
      </c>
      <c r="B623" t="s">
        <v>1573</v>
      </c>
      <c r="C623" t="s">
        <v>1574</v>
      </c>
      <c r="D623" t="s">
        <v>17</v>
      </c>
      <c r="E623" t="s">
        <v>74</v>
      </c>
      <c r="F623" t="s">
        <v>92</v>
      </c>
      <c r="G623">
        <v>2</v>
      </c>
      <c r="H623">
        <v>7.46</v>
      </c>
      <c r="I623">
        <v>14.92</v>
      </c>
      <c r="J623">
        <v>7.67</v>
      </c>
      <c r="K623">
        <v>7.25</v>
      </c>
      <c r="L623" t="s">
        <v>60</v>
      </c>
      <c r="M623" t="s">
        <v>54</v>
      </c>
      <c r="N623" t="s">
        <v>530</v>
      </c>
    </row>
    <row r="624" spans="1:14">
      <c r="A624" t="s">
        <v>1575</v>
      </c>
      <c r="B624" t="s">
        <v>1576</v>
      </c>
      <c r="C624" t="s">
        <v>1577</v>
      </c>
      <c r="D624" t="s">
        <v>69</v>
      </c>
      <c r="E624" t="s">
        <v>27</v>
      </c>
      <c r="F624" t="s">
        <v>169</v>
      </c>
      <c r="G624">
        <v>3</v>
      </c>
      <c r="H624">
        <v>5.89</v>
      </c>
      <c r="I624">
        <v>17.67</v>
      </c>
      <c r="J624">
        <v>11.69</v>
      </c>
      <c r="K624">
        <v>5.98</v>
      </c>
      <c r="L624" t="s">
        <v>20</v>
      </c>
      <c r="M624" t="s">
        <v>29</v>
      </c>
      <c r="N624" t="s">
        <v>191</v>
      </c>
    </row>
    <row r="625" spans="1:14">
      <c r="A625" t="s">
        <v>1578</v>
      </c>
      <c r="B625" t="s">
        <v>1043</v>
      </c>
      <c r="C625" t="s">
        <v>1579</v>
      </c>
      <c r="D625" t="s">
        <v>17</v>
      </c>
      <c r="E625" t="s">
        <v>27</v>
      </c>
      <c r="F625" t="s">
        <v>28</v>
      </c>
      <c r="G625">
        <v>1</v>
      </c>
      <c r="H625">
        <v>6.74</v>
      </c>
      <c r="I625">
        <v>6.74</v>
      </c>
      <c r="J625">
        <v>4.24</v>
      </c>
      <c r="K625">
        <v>2.5</v>
      </c>
      <c r="L625" t="s">
        <v>36</v>
      </c>
      <c r="M625" t="s">
        <v>54</v>
      </c>
      <c r="N625" t="s">
        <v>93</v>
      </c>
    </row>
    <row r="626" spans="1:14">
      <c r="A626" t="s">
        <v>1580</v>
      </c>
      <c r="B626" t="s">
        <v>824</v>
      </c>
      <c r="C626" t="s">
        <v>873</v>
      </c>
      <c r="D626" t="s">
        <v>46</v>
      </c>
      <c r="E626" t="s">
        <v>74</v>
      </c>
      <c r="F626" t="s">
        <v>92</v>
      </c>
      <c r="G626">
        <v>4</v>
      </c>
      <c r="H626">
        <v>3.36</v>
      </c>
      <c r="I626">
        <v>13.44</v>
      </c>
      <c r="J626">
        <v>8.77</v>
      </c>
      <c r="K626">
        <v>4.67</v>
      </c>
      <c r="L626" t="s">
        <v>53</v>
      </c>
      <c r="M626" t="s">
        <v>54</v>
      </c>
      <c r="N626" t="s">
        <v>177</v>
      </c>
    </row>
    <row r="627" spans="1:14">
      <c r="A627" t="s">
        <v>1581</v>
      </c>
      <c r="B627" t="s">
        <v>1541</v>
      </c>
      <c r="C627" t="s">
        <v>1582</v>
      </c>
      <c r="D627" t="s">
        <v>46</v>
      </c>
      <c r="E627" t="s">
        <v>74</v>
      </c>
      <c r="F627" t="s">
        <v>92</v>
      </c>
      <c r="G627">
        <v>1</v>
      </c>
      <c r="H627">
        <v>4.61</v>
      </c>
      <c r="I627">
        <v>4.61</v>
      </c>
      <c r="J627">
        <v>2.55</v>
      </c>
      <c r="K627">
        <v>2.06</v>
      </c>
      <c r="L627" t="s">
        <v>53</v>
      </c>
      <c r="M627" t="s">
        <v>54</v>
      </c>
      <c r="N627" t="s">
        <v>574</v>
      </c>
    </row>
    <row r="628" spans="1:14">
      <c r="A628" t="s">
        <v>1583</v>
      </c>
      <c r="B628" t="s">
        <v>308</v>
      </c>
      <c r="C628" t="s">
        <v>1584</v>
      </c>
      <c r="D628" t="s">
        <v>26</v>
      </c>
      <c r="E628" t="s">
        <v>34</v>
      </c>
      <c r="F628" t="s">
        <v>130</v>
      </c>
      <c r="G628">
        <v>2</v>
      </c>
      <c r="H628">
        <v>6.11</v>
      </c>
      <c r="I628">
        <v>12.22</v>
      </c>
      <c r="J628">
        <v>6.24</v>
      </c>
      <c r="K628">
        <v>5.98</v>
      </c>
      <c r="L628" t="s">
        <v>20</v>
      </c>
      <c r="M628" t="s">
        <v>54</v>
      </c>
      <c r="N628" t="s">
        <v>862</v>
      </c>
    </row>
    <row r="629" spans="1:14">
      <c r="A629" t="s">
        <v>1585</v>
      </c>
      <c r="B629" t="s">
        <v>673</v>
      </c>
      <c r="C629" t="s">
        <v>1586</v>
      </c>
      <c r="D629" t="s">
        <v>26</v>
      </c>
      <c r="E629" t="s">
        <v>18</v>
      </c>
      <c r="F629" t="s">
        <v>19</v>
      </c>
      <c r="G629">
        <v>4</v>
      </c>
      <c r="H629">
        <v>7.41</v>
      </c>
      <c r="I629">
        <v>29.64</v>
      </c>
      <c r="J629">
        <v>19.81</v>
      </c>
      <c r="K629">
        <v>9.83</v>
      </c>
      <c r="L629" t="s">
        <v>36</v>
      </c>
      <c r="M629" t="s">
        <v>21</v>
      </c>
      <c r="N629" t="s">
        <v>470</v>
      </c>
    </row>
    <row r="630" spans="1:14">
      <c r="A630" t="s">
        <v>1587</v>
      </c>
      <c r="B630" t="s">
        <v>357</v>
      </c>
      <c r="C630" t="s">
        <v>1477</v>
      </c>
      <c r="D630" t="s">
        <v>52</v>
      </c>
      <c r="E630" t="s">
        <v>18</v>
      </c>
      <c r="F630" t="s">
        <v>19</v>
      </c>
      <c r="G630">
        <v>2</v>
      </c>
      <c r="H630">
        <v>3.9</v>
      </c>
      <c r="I630">
        <v>7.8</v>
      </c>
      <c r="J630">
        <v>4.45</v>
      </c>
      <c r="K630">
        <v>3.35</v>
      </c>
      <c r="L630" t="s">
        <v>53</v>
      </c>
      <c r="M630" t="s">
        <v>21</v>
      </c>
      <c r="N630" t="s">
        <v>312</v>
      </c>
    </row>
    <row r="631" spans="1:14">
      <c r="A631" t="s">
        <v>1588</v>
      </c>
      <c r="B631" t="s">
        <v>622</v>
      </c>
      <c r="C631" t="s">
        <v>849</v>
      </c>
      <c r="D631" t="s">
        <v>69</v>
      </c>
      <c r="E631" t="s">
        <v>18</v>
      </c>
      <c r="F631" t="s">
        <v>41</v>
      </c>
      <c r="G631">
        <v>1</v>
      </c>
      <c r="H631">
        <v>6.47</v>
      </c>
      <c r="I631">
        <v>6.47</v>
      </c>
      <c r="J631">
        <v>3.32</v>
      </c>
      <c r="K631">
        <v>3.15</v>
      </c>
      <c r="L631" t="s">
        <v>60</v>
      </c>
      <c r="M631" t="s">
        <v>21</v>
      </c>
      <c r="N631" t="s">
        <v>65</v>
      </c>
    </row>
    <row r="632" spans="1:14">
      <c r="A632" t="s">
        <v>1589</v>
      </c>
      <c r="B632" t="s">
        <v>875</v>
      </c>
      <c r="C632" t="s">
        <v>734</v>
      </c>
      <c r="D632" t="s">
        <v>17</v>
      </c>
      <c r="E632" t="s">
        <v>27</v>
      </c>
      <c r="F632" t="s">
        <v>70</v>
      </c>
      <c r="G632">
        <v>3</v>
      </c>
      <c r="H632">
        <v>2.95</v>
      </c>
      <c r="I632">
        <v>8.85</v>
      </c>
      <c r="J632">
        <v>5.8</v>
      </c>
      <c r="K632">
        <v>3.05</v>
      </c>
      <c r="L632" t="s">
        <v>20</v>
      </c>
      <c r="M632" t="s">
        <v>54</v>
      </c>
      <c r="N632" t="s">
        <v>518</v>
      </c>
    </row>
    <row r="633" spans="1:14">
      <c r="A633" t="s">
        <v>1590</v>
      </c>
      <c r="B633" t="s">
        <v>339</v>
      </c>
      <c r="C633" t="s">
        <v>281</v>
      </c>
      <c r="D633" t="s">
        <v>69</v>
      </c>
      <c r="E633" t="s">
        <v>18</v>
      </c>
      <c r="F633" t="s">
        <v>146</v>
      </c>
      <c r="G633">
        <v>1</v>
      </c>
      <c r="H633">
        <v>4.47</v>
      </c>
      <c r="I633">
        <v>4.47</v>
      </c>
      <c r="J633">
        <v>2.38</v>
      </c>
      <c r="K633">
        <v>2.09</v>
      </c>
      <c r="L633" t="s">
        <v>53</v>
      </c>
      <c r="M633" t="s">
        <v>21</v>
      </c>
      <c r="N633" t="s">
        <v>507</v>
      </c>
    </row>
    <row r="634" spans="1:14">
      <c r="A634" t="s">
        <v>1591</v>
      </c>
      <c r="B634" t="s">
        <v>1592</v>
      </c>
      <c r="C634" t="s">
        <v>1593</v>
      </c>
      <c r="D634" t="s">
        <v>46</v>
      </c>
      <c r="E634" t="s">
        <v>27</v>
      </c>
      <c r="F634" t="s">
        <v>28</v>
      </c>
      <c r="G634">
        <v>2</v>
      </c>
      <c r="H634">
        <v>3.17</v>
      </c>
      <c r="I634">
        <v>6.34</v>
      </c>
      <c r="J634">
        <v>3.41</v>
      </c>
      <c r="K634">
        <v>2.93</v>
      </c>
      <c r="L634" t="s">
        <v>53</v>
      </c>
      <c r="M634" t="s">
        <v>21</v>
      </c>
      <c r="N634" t="s">
        <v>822</v>
      </c>
    </row>
    <row r="635" spans="1:14">
      <c r="A635" t="s">
        <v>1594</v>
      </c>
      <c r="B635" t="s">
        <v>622</v>
      </c>
      <c r="C635" t="s">
        <v>1236</v>
      </c>
      <c r="D635" t="s">
        <v>17</v>
      </c>
      <c r="E635" t="s">
        <v>18</v>
      </c>
      <c r="F635" t="s">
        <v>19</v>
      </c>
      <c r="G635">
        <v>4</v>
      </c>
      <c r="H635">
        <v>3.57</v>
      </c>
      <c r="I635">
        <v>14.28</v>
      </c>
      <c r="J635">
        <v>8.2</v>
      </c>
      <c r="K635">
        <v>6.08</v>
      </c>
      <c r="L635" t="s">
        <v>20</v>
      </c>
      <c r="M635" t="s">
        <v>29</v>
      </c>
      <c r="N635" t="s">
        <v>183</v>
      </c>
    </row>
    <row r="636" spans="1:14">
      <c r="A636" t="s">
        <v>1595</v>
      </c>
      <c r="B636" t="s">
        <v>845</v>
      </c>
      <c r="C636" t="s">
        <v>1596</v>
      </c>
      <c r="D636" t="s">
        <v>52</v>
      </c>
      <c r="E636" t="s">
        <v>34</v>
      </c>
      <c r="F636" t="s">
        <v>47</v>
      </c>
      <c r="G636">
        <v>4</v>
      </c>
      <c r="H636">
        <v>6.8</v>
      </c>
      <c r="I636">
        <v>27.2</v>
      </c>
      <c r="J636">
        <v>16.46</v>
      </c>
      <c r="K636">
        <v>10.74</v>
      </c>
      <c r="L636" t="s">
        <v>60</v>
      </c>
      <c r="M636" t="s">
        <v>54</v>
      </c>
      <c r="N636" t="s">
        <v>151</v>
      </c>
    </row>
    <row r="637" spans="1:14">
      <c r="A637" t="s">
        <v>1597</v>
      </c>
      <c r="B637" t="s">
        <v>1012</v>
      </c>
      <c r="C637" t="s">
        <v>1598</v>
      </c>
      <c r="D637" t="s">
        <v>26</v>
      </c>
      <c r="E637" t="s">
        <v>74</v>
      </c>
      <c r="F637" t="s">
        <v>92</v>
      </c>
      <c r="G637">
        <v>2</v>
      </c>
      <c r="H637">
        <v>7.24</v>
      </c>
      <c r="I637">
        <v>14.48</v>
      </c>
      <c r="J637">
        <v>7.27</v>
      </c>
      <c r="K637">
        <v>7.21</v>
      </c>
      <c r="L637" t="s">
        <v>36</v>
      </c>
      <c r="M637" t="s">
        <v>21</v>
      </c>
      <c r="N637" t="s">
        <v>212</v>
      </c>
    </row>
    <row r="638" spans="1:14">
      <c r="A638" t="s">
        <v>1599</v>
      </c>
      <c r="B638" t="s">
        <v>1468</v>
      </c>
      <c r="C638" t="s">
        <v>1600</v>
      </c>
      <c r="D638" t="s">
        <v>17</v>
      </c>
      <c r="E638" t="s">
        <v>74</v>
      </c>
      <c r="F638" t="s">
        <v>83</v>
      </c>
      <c r="G638">
        <v>3</v>
      </c>
      <c r="H638">
        <v>4.49</v>
      </c>
      <c r="I638">
        <v>13.47</v>
      </c>
      <c r="J638">
        <v>6.18</v>
      </c>
      <c r="K638">
        <v>7.29</v>
      </c>
      <c r="L638" t="s">
        <v>53</v>
      </c>
      <c r="M638" t="s">
        <v>54</v>
      </c>
      <c r="N638" t="s">
        <v>312</v>
      </c>
    </row>
    <row r="639" spans="1:14">
      <c r="A639" t="s">
        <v>1601</v>
      </c>
      <c r="B639" t="s">
        <v>1602</v>
      </c>
      <c r="C639" t="s">
        <v>1061</v>
      </c>
      <c r="D639" t="s">
        <v>52</v>
      </c>
      <c r="E639" t="s">
        <v>18</v>
      </c>
      <c r="F639" t="s">
        <v>41</v>
      </c>
      <c r="G639">
        <v>4</v>
      </c>
      <c r="H639">
        <v>4.22</v>
      </c>
      <c r="I639">
        <v>16.88</v>
      </c>
      <c r="J639">
        <v>10.02</v>
      </c>
      <c r="K639">
        <v>6.86</v>
      </c>
      <c r="L639" t="s">
        <v>20</v>
      </c>
      <c r="M639" t="s">
        <v>29</v>
      </c>
      <c r="N639" t="s">
        <v>862</v>
      </c>
    </row>
    <row r="640" spans="1:14">
      <c r="A640" t="s">
        <v>1603</v>
      </c>
      <c r="B640" t="s">
        <v>1063</v>
      </c>
      <c r="C640" t="s">
        <v>1604</v>
      </c>
      <c r="D640" t="s">
        <v>46</v>
      </c>
      <c r="E640" t="s">
        <v>74</v>
      </c>
      <c r="F640" t="s">
        <v>83</v>
      </c>
      <c r="G640">
        <v>3</v>
      </c>
      <c r="H640">
        <v>6.98</v>
      </c>
      <c r="I640">
        <v>20.94</v>
      </c>
      <c r="J640">
        <v>12.72</v>
      </c>
      <c r="K640">
        <v>8.22</v>
      </c>
      <c r="L640" t="s">
        <v>60</v>
      </c>
      <c r="M640" t="s">
        <v>54</v>
      </c>
      <c r="N640" t="s">
        <v>744</v>
      </c>
    </row>
    <row r="641" spans="1:14">
      <c r="A641" t="s">
        <v>1605</v>
      </c>
      <c r="B641" t="s">
        <v>875</v>
      </c>
      <c r="C641" t="s">
        <v>1304</v>
      </c>
      <c r="D641" t="s">
        <v>26</v>
      </c>
      <c r="E641" t="s">
        <v>18</v>
      </c>
      <c r="F641" t="s">
        <v>41</v>
      </c>
      <c r="G641">
        <v>2</v>
      </c>
      <c r="H641">
        <v>2.7</v>
      </c>
      <c r="I641">
        <v>5.4</v>
      </c>
      <c r="J641">
        <v>2.72</v>
      </c>
      <c r="K641">
        <v>2.68</v>
      </c>
      <c r="L641" t="s">
        <v>53</v>
      </c>
      <c r="M641" t="s">
        <v>29</v>
      </c>
      <c r="N641" t="s">
        <v>373</v>
      </c>
    </row>
    <row r="642" spans="1:14">
      <c r="A642" t="s">
        <v>1606</v>
      </c>
      <c r="B642" t="s">
        <v>552</v>
      </c>
      <c r="C642" t="s">
        <v>1607</v>
      </c>
      <c r="D642" t="s">
        <v>17</v>
      </c>
      <c r="E642" t="s">
        <v>18</v>
      </c>
      <c r="F642" t="s">
        <v>19</v>
      </c>
      <c r="G642">
        <v>1</v>
      </c>
      <c r="H642">
        <v>3.36</v>
      </c>
      <c r="I642">
        <v>3.36</v>
      </c>
      <c r="J642">
        <v>1.76</v>
      </c>
      <c r="K642">
        <v>1.6</v>
      </c>
      <c r="L642" t="s">
        <v>20</v>
      </c>
      <c r="M642" t="s">
        <v>29</v>
      </c>
      <c r="N642" t="s">
        <v>513</v>
      </c>
    </row>
    <row r="643" spans="1:14">
      <c r="A643" t="s">
        <v>1608</v>
      </c>
      <c r="B643" t="s">
        <v>552</v>
      </c>
      <c r="C643" t="s">
        <v>1609</v>
      </c>
      <c r="D643" t="s">
        <v>69</v>
      </c>
      <c r="E643" t="s">
        <v>74</v>
      </c>
      <c r="F643" t="s">
        <v>75</v>
      </c>
      <c r="G643">
        <v>5</v>
      </c>
      <c r="H643">
        <v>7.31</v>
      </c>
      <c r="I643">
        <v>36.55</v>
      </c>
      <c r="J643">
        <v>23.43</v>
      </c>
      <c r="K643">
        <v>13.12</v>
      </c>
      <c r="L643" t="s">
        <v>53</v>
      </c>
      <c r="M643" t="s">
        <v>29</v>
      </c>
      <c r="N643" t="s">
        <v>216</v>
      </c>
    </row>
    <row r="644" spans="1:14">
      <c r="A644" t="s">
        <v>1610</v>
      </c>
      <c r="B644" t="s">
        <v>320</v>
      </c>
      <c r="C644" t="s">
        <v>1611</v>
      </c>
      <c r="D644" t="s">
        <v>52</v>
      </c>
      <c r="E644" t="s">
        <v>74</v>
      </c>
      <c r="F644" t="s">
        <v>83</v>
      </c>
      <c r="G644">
        <v>4</v>
      </c>
      <c r="H644">
        <v>3.14</v>
      </c>
      <c r="I644">
        <v>12.56</v>
      </c>
      <c r="J644">
        <v>6.76</v>
      </c>
      <c r="K644">
        <v>5.8</v>
      </c>
      <c r="L644" t="s">
        <v>36</v>
      </c>
      <c r="M644" t="s">
        <v>21</v>
      </c>
      <c r="N644" t="s">
        <v>118</v>
      </c>
    </row>
    <row r="645" spans="1:14">
      <c r="A645" t="s">
        <v>1612</v>
      </c>
      <c r="B645" t="s">
        <v>320</v>
      </c>
      <c r="C645" t="s">
        <v>1613</v>
      </c>
      <c r="D645" t="s">
        <v>52</v>
      </c>
      <c r="E645" t="s">
        <v>34</v>
      </c>
      <c r="F645" t="s">
        <v>59</v>
      </c>
      <c r="G645">
        <v>1</v>
      </c>
      <c r="H645">
        <v>2.54</v>
      </c>
      <c r="I645">
        <v>2.54</v>
      </c>
      <c r="J645">
        <v>1.25</v>
      </c>
      <c r="K645">
        <v>1.29</v>
      </c>
      <c r="L645" t="s">
        <v>20</v>
      </c>
      <c r="M645" t="s">
        <v>54</v>
      </c>
      <c r="N645" t="s">
        <v>97</v>
      </c>
    </row>
    <row r="646" spans="1:14">
      <c r="A646" t="s">
        <v>1614</v>
      </c>
      <c r="B646" t="s">
        <v>273</v>
      </c>
      <c r="C646" t="s">
        <v>1615</v>
      </c>
      <c r="D646" t="s">
        <v>26</v>
      </c>
      <c r="E646" t="s">
        <v>34</v>
      </c>
      <c r="F646" t="s">
        <v>59</v>
      </c>
      <c r="G646">
        <v>1</v>
      </c>
      <c r="H646">
        <v>5.59</v>
      </c>
      <c r="I646">
        <v>5.59</v>
      </c>
      <c r="J646">
        <v>2.74</v>
      </c>
      <c r="K646">
        <v>2.85</v>
      </c>
      <c r="L646" t="s">
        <v>60</v>
      </c>
      <c r="M646" t="s">
        <v>21</v>
      </c>
      <c r="N646" t="s">
        <v>530</v>
      </c>
    </row>
    <row r="647" spans="1:14">
      <c r="A647" t="s">
        <v>1616</v>
      </c>
      <c r="B647" t="s">
        <v>898</v>
      </c>
      <c r="C647" t="s">
        <v>1617</v>
      </c>
      <c r="D647" t="s">
        <v>26</v>
      </c>
      <c r="E647" t="s">
        <v>74</v>
      </c>
      <c r="F647" t="s">
        <v>92</v>
      </c>
      <c r="G647">
        <v>2</v>
      </c>
      <c r="H647">
        <v>3.52</v>
      </c>
      <c r="I647">
        <v>7.04</v>
      </c>
      <c r="J647">
        <v>3.22</v>
      </c>
      <c r="K647">
        <v>3.82</v>
      </c>
      <c r="L647" t="s">
        <v>60</v>
      </c>
      <c r="M647" t="s">
        <v>21</v>
      </c>
      <c r="N647" t="s">
        <v>850</v>
      </c>
    </row>
    <row r="648" spans="1:14">
      <c r="A648" t="s">
        <v>1618</v>
      </c>
      <c r="B648" t="s">
        <v>1619</v>
      </c>
      <c r="C648" t="s">
        <v>1620</v>
      </c>
      <c r="D648" t="s">
        <v>26</v>
      </c>
      <c r="E648" t="s">
        <v>27</v>
      </c>
      <c r="F648" t="s">
        <v>125</v>
      </c>
      <c r="G648">
        <v>3</v>
      </c>
      <c r="H648">
        <v>7.55</v>
      </c>
      <c r="I648">
        <v>22.65</v>
      </c>
      <c r="J648">
        <v>13.05</v>
      </c>
      <c r="K648">
        <v>9.6</v>
      </c>
      <c r="L648" t="s">
        <v>20</v>
      </c>
      <c r="M648" t="s">
        <v>54</v>
      </c>
      <c r="N648" t="s">
        <v>37</v>
      </c>
    </row>
    <row r="649" spans="1:14">
      <c r="A649" t="s">
        <v>1621</v>
      </c>
      <c r="B649" t="s">
        <v>1532</v>
      </c>
      <c r="C649" t="s">
        <v>393</v>
      </c>
      <c r="D649" t="s">
        <v>17</v>
      </c>
      <c r="E649" t="s">
        <v>74</v>
      </c>
      <c r="F649" t="s">
        <v>75</v>
      </c>
      <c r="G649">
        <v>4</v>
      </c>
      <c r="H649">
        <v>7.59</v>
      </c>
      <c r="I649">
        <v>30.36</v>
      </c>
      <c r="J649">
        <v>16.26</v>
      </c>
      <c r="K649">
        <v>14.1</v>
      </c>
      <c r="L649" t="s">
        <v>60</v>
      </c>
      <c r="M649" t="s">
        <v>29</v>
      </c>
      <c r="N649" t="s">
        <v>238</v>
      </c>
    </row>
    <row r="650" spans="1:14">
      <c r="A650" t="s">
        <v>1622</v>
      </c>
      <c r="B650" t="s">
        <v>1550</v>
      </c>
      <c r="C650" t="s">
        <v>1623</v>
      </c>
      <c r="D650" t="s">
        <v>52</v>
      </c>
      <c r="E650" t="s">
        <v>74</v>
      </c>
      <c r="F650" t="s">
        <v>75</v>
      </c>
      <c r="G650">
        <v>3</v>
      </c>
      <c r="H650">
        <v>6.78</v>
      </c>
      <c r="I650">
        <v>20.34</v>
      </c>
      <c r="J650">
        <v>13.33</v>
      </c>
      <c r="K650">
        <v>7.01</v>
      </c>
      <c r="L650" t="s">
        <v>53</v>
      </c>
      <c r="M650" t="s">
        <v>54</v>
      </c>
      <c r="N650" t="s">
        <v>223</v>
      </c>
    </row>
    <row r="651" spans="1:14">
      <c r="A651" t="s">
        <v>1624</v>
      </c>
      <c r="B651" t="s">
        <v>1625</v>
      </c>
      <c r="C651" t="s">
        <v>1097</v>
      </c>
      <c r="D651" t="s">
        <v>26</v>
      </c>
      <c r="E651" t="s">
        <v>34</v>
      </c>
      <c r="F651" t="s">
        <v>35</v>
      </c>
      <c r="G651">
        <v>4</v>
      </c>
      <c r="H651">
        <v>5.67</v>
      </c>
      <c r="I651">
        <v>22.68</v>
      </c>
      <c r="J651">
        <v>13.17</v>
      </c>
      <c r="K651">
        <v>9.51</v>
      </c>
      <c r="L651" t="s">
        <v>20</v>
      </c>
      <c r="M651" t="s">
        <v>29</v>
      </c>
      <c r="N651" t="s">
        <v>271</v>
      </c>
    </row>
    <row r="652" spans="1:14">
      <c r="A652" t="s">
        <v>1626</v>
      </c>
      <c r="B652" t="s">
        <v>968</v>
      </c>
      <c r="C652" t="s">
        <v>609</v>
      </c>
      <c r="D652" t="s">
        <v>46</v>
      </c>
      <c r="E652" t="s">
        <v>18</v>
      </c>
      <c r="F652" t="s">
        <v>19</v>
      </c>
      <c r="G652">
        <v>4</v>
      </c>
      <c r="H652">
        <v>6.23</v>
      </c>
      <c r="I652">
        <v>24.92</v>
      </c>
      <c r="J652">
        <v>14.12</v>
      </c>
      <c r="K652">
        <v>10.8</v>
      </c>
      <c r="L652" t="s">
        <v>36</v>
      </c>
      <c r="M652" t="s">
        <v>21</v>
      </c>
      <c r="N652" t="s">
        <v>822</v>
      </c>
    </row>
    <row r="653" spans="1:14">
      <c r="A653" t="s">
        <v>1627</v>
      </c>
      <c r="B653" t="s">
        <v>684</v>
      </c>
      <c r="C653" t="s">
        <v>1628</v>
      </c>
      <c r="D653" t="s">
        <v>17</v>
      </c>
      <c r="E653" t="s">
        <v>18</v>
      </c>
      <c r="F653" t="s">
        <v>146</v>
      </c>
      <c r="G653">
        <v>2</v>
      </c>
      <c r="H653">
        <v>5.85</v>
      </c>
      <c r="I653">
        <v>11.7</v>
      </c>
      <c r="J653">
        <v>6.08</v>
      </c>
      <c r="K653">
        <v>5.62</v>
      </c>
      <c r="L653" t="s">
        <v>53</v>
      </c>
      <c r="M653" t="s">
        <v>29</v>
      </c>
      <c r="N653" t="s">
        <v>381</v>
      </c>
    </row>
    <row r="654" spans="1:14">
      <c r="A654" t="s">
        <v>1629</v>
      </c>
      <c r="B654" t="s">
        <v>1630</v>
      </c>
      <c r="C654" t="s">
        <v>1631</v>
      </c>
      <c r="D654" t="s">
        <v>26</v>
      </c>
      <c r="E654" t="s">
        <v>74</v>
      </c>
      <c r="F654" t="s">
        <v>83</v>
      </c>
      <c r="G654">
        <v>2</v>
      </c>
      <c r="H654">
        <v>3.77</v>
      </c>
      <c r="I654">
        <v>7.54</v>
      </c>
      <c r="J654">
        <v>4.62</v>
      </c>
      <c r="K654">
        <v>2.92</v>
      </c>
      <c r="L654" t="s">
        <v>53</v>
      </c>
      <c r="M654" t="s">
        <v>29</v>
      </c>
      <c r="N654" t="s">
        <v>48</v>
      </c>
    </row>
    <row r="655" spans="1:14">
      <c r="A655" t="s">
        <v>1632</v>
      </c>
      <c r="B655" t="s">
        <v>214</v>
      </c>
      <c r="C655" t="s">
        <v>129</v>
      </c>
      <c r="D655" t="s">
        <v>26</v>
      </c>
      <c r="E655" t="s">
        <v>74</v>
      </c>
      <c r="F655" t="s">
        <v>83</v>
      </c>
      <c r="G655">
        <v>3</v>
      </c>
      <c r="H655">
        <v>3.72</v>
      </c>
      <c r="I655">
        <v>11.16</v>
      </c>
      <c r="J655">
        <v>5.61</v>
      </c>
      <c r="K655">
        <v>5.55</v>
      </c>
      <c r="L655" t="s">
        <v>60</v>
      </c>
      <c r="M655" t="s">
        <v>54</v>
      </c>
      <c r="N655" t="s">
        <v>431</v>
      </c>
    </row>
    <row r="656" spans="1:14">
      <c r="A656" t="s">
        <v>1633</v>
      </c>
      <c r="B656" t="s">
        <v>532</v>
      </c>
      <c r="C656" t="s">
        <v>1432</v>
      </c>
      <c r="D656" t="s">
        <v>52</v>
      </c>
      <c r="E656" t="s">
        <v>27</v>
      </c>
      <c r="F656" t="s">
        <v>169</v>
      </c>
      <c r="G656">
        <v>4</v>
      </c>
      <c r="H656">
        <v>7.81</v>
      </c>
      <c r="I656">
        <v>31.24</v>
      </c>
      <c r="J656">
        <v>21.18</v>
      </c>
      <c r="K656">
        <v>10.06</v>
      </c>
      <c r="L656" t="s">
        <v>60</v>
      </c>
      <c r="M656" t="s">
        <v>54</v>
      </c>
      <c r="N656" t="s">
        <v>518</v>
      </c>
    </row>
    <row r="657" spans="1:14">
      <c r="A657" t="s">
        <v>1634</v>
      </c>
      <c r="B657" t="s">
        <v>350</v>
      </c>
      <c r="C657" t="s">
        <v>1635</v>
      </c>
      <c r="D657" t="s">
        <v>26</v>
      </c>
      <c r="E657" t="s">
        <v>34</v>
      </c>
      <c r="F657" t="s">
        <v>35</v>
      </c>
      <c r="G657">
        <v>1</v>
      </c>
      <c r="H657">
        <v>3.72</v>
      </c>
      <c r="I657">
        <v>3.72</v>
      </c>
      <c r="J657">
        <v>2.26</v>
      </c>
      <c r="K657">
        <v>1.46</v>
      </c>
      <c r="L657" t="s">
        <v>36</v>
      </c>
      <c r="M657" t="s">
        <v>21</v>
      </c>
      <c r="N657" t="s">
        <v>223</v>
      </c>
    </row>
    <row r="658" spans="1:14">
      <c r="A658" t="s">
        <v>1636</v>
      </c>
      <c r="B658" t="s">
        <v>32</v>
      </c>
      <c r="C658" t="s">
        <v>1420</v>
      </c>
      <c r="D658" t="s">
        <v>69</v>
      </c>
      <c r="E658" t="s">
        <v>18</v>
      </c>
      <c r="F658" t="s">
        <v>146</v>
      </c>
      <c r="G658">
        <v>3</v>
      </c>
      <c r="H658">
        <v>4.78</v>
      </c>
      <c r="I658">
        <v>14.34</v>
      </c>
      <c r="J658">
        <v>9.07</v>
      </c>
      <c r="K658">
        <v>5.27</v>
      </c>
      <c r="L658" t="s">
        <v>36</v>
      </c>
      <c r="M658" t="s">
        <v>29</v>
      </c>
      <c r="N658" t="s">
        <v>174</v>
      </c>
    </row>
    <row r="659" spans="1:14">
      <c r="A659" t="s">
        <v>1637</v>
      </c>
      <c r="B659" t="s">
        <v>493</v>
      </c>
      <c r="C659" t="s">
        <v>1038</v>
      </c>
      <c r="D659" t="s">
        <v>46</v>
      </c>
      <c r="E659" t="s">
        <v>18</v>
      </c>
      <c r="F659" t="s">
        <v>19</v>
      </c>
      <c r="G659">
        <v>3</v>
      </c>
      <c r="H659">
        <v>7.01</v>
      </c>
      <c r="I659">
        <v>21.03</v>
      </c>
      <c r="J659">
        <v>12.11</v>
      </c>
      <c r="K659">
        <v>8.92</v>
      </c>
      <c r="L659" t="s">
        <v>36</v>
      </c>
      <c r="M659" t="s">
        <v>54</v>
      </c>
      <c r="N659" t="s">
        <v>84</v>
      </c>
    </row>
    <row r="660" spans="1:14">
      <c r="A660" t="s">
        <v>1638</v>
      </c>
      <c r="B660" t="s">
        <v>363</v>
      </c>
      <c r="C660" t="s">
        <v>1639</v>
      </c>
      <c r="D660" t="s">
        <v>17</v>
      </c>
      <c r="E660" t="s">
        <v>34</v>
      </c>
      <c r="F660" t="s">
        <v>135</v>
      </c>
      <c r="G660">
        <v>2</v>
      </c>
      <c r="H660">
        <v>4.57</v>
      </c>
      <c r="I660">
        <v>9.14</v>
      </c>
      <c r="J660">
        <v>6.02</v>
      </c>
      <c r="K660">
        <v>3.12</v>
      </c>
      <c r="L660" t="s">
        <v>60</v>
      </c>
      <c r="M660" t="s">
        <v>54</v>
      </c>
      <c r="N660" t="s">
        <v>234</v>
      </c>
    </row>
    <row r="661" spans="1:14">
      <c r="A661" t="s">
        <v>1640</v>
      </c>
      <c r="B661" t="s">
        <v>762</v>
      </c>
      <c r="C661" t="s">
        <v>1641</v>
      </c>
      <c r="D661" t="s">
        <v>46</v>
      </c>
      <c r="E661" t="s">
        <v>34</v>
      </c>
      <c r="F661" t="s">
        <v>35</v>
      </c>
      <c r="G661">
        <v>1</v>
      </c>
      <c r="H661">
        <v>3.52</v>
      </c>
      <c r="I661">
        <v>3.52</v>
      </c>
      <c r="J661">
        <v>2.43</v>
      </c>
      <c r="K661">
        <v>1.09</v>
      </c>
      <c r="L661" t="s">
        <v>20</v>
      </c>
      <c r="M661" t="s">
        <v>54</v>
      </c>
      <c r="N661" t="s">
        <v>118</v>
      </c>
    </row>
    <row r="662" spans="1:14">
      <c r="A662" t="s">
        <v>1642</v>
      </c>
      <c r="B662" t="s">
        <v>418</v>
      </c>
      <c r="C662" t="s">
        <v>1643</v>
      </c>
      <c r="D662" t="s">
        <v>69</v>
      </c>
      <c r="E662" t="s">
        <v>34</v>
      </c>
      <c r="F662" t="s">
        <v>130</v>
      </c>
      <c r="G662">
        <v>1</v>
      </c>
      <c r="H662">
        <v>7.85</v>
      </c>
      <c r="I662">
        <v>7.85</v>
      </c>
      <c r="J662">
        <v>4.75</v>
      </c>
      <c r="K662">
        <v>3.1</v>
      </c>
      <c r="L662" t="s">
        <v>53</v>
      </c>
      <c r="M662" t="s">
        <v>21</v>
      </c>
      <c r="N662" t="s">
        <v>93</v>
      </c>
    </row>
    <row r="663" spans="1:14">
      <c r="A663" t="s">
        <v>1644</v>
      </c>
      <c r="B663" t="s">
        <v>1645</v>
      </c>
      <c r="C663" t="s">
        <v>1646</v>
      </c>
      <c r="D663" t="s">
        <v>46</v>
      </c>
      <c r="E663" t="s">
        <v>18</v>
      </c>
      <c r="F663" t="s">
        <v>146</v>
      </c>
      <c r="G663">
        <v>2</v>
      </c>
      <c r="H663">
        <v>3.73</v>
      </c>
      <c r="I663">
        <v>7.46</v>
      </c>
      <c r="J663">
        <v>3.72</v>
      </c>
      <c r="K663">
        <v>3.74</v>
      </c>
      <c r="L663" t="s">
        <v>60</v>
      </c>
      <c r="M663" t="s">
        <v>21</v>
      </c>
      <c r="N663" t="s">
        <v>22</v>
      </c>
    </row>
    <row r="664" spans="1:14">
      <c r="A664" t="s">
        <v>1647</v>
      </c>
      <c r="B664" t="s">
        <v>1619</v>
      </c>
      <c r="C664" t="s">
        <v>1648</v>
      </c>
      <c r="D664" t="s">
        <v>52</v>
      </c>
      <c r="E664" t="s">
        <v>74</v>
      </c>
      <c r="F664" t="s">
        <v>92</v>
      </c>
      <c r="G664">
        <v>1</v>
      </c>
      <c r="H664">
        <v>5.41</v>
      </c>
      <c r="I664">
        <v>5.41</v>
      </c>
      <c r="J664">
        <v>2.78</v>
      </c>
      <c r="K664">
        <v>2.63</v>
      </c>
      <c r="L664" t="s">
        <v>20</v>
      </c>
      <c r="M664" t="s">
        <v>54</v>
      </c>
      <c r="N664" t="s">
        <v>422</v>
      </c>
    </row>
    <row r="665" spans="1:14">
      <c r="A665" t="s">
        <v>1649</v>
      </c>
      <c r="B665" t="s">
        <v>405</v>
      </c>
      <c r="C665" t="s">
        <v>1650</v>
      </c>
      <c r="D665" t="s">
        <v>17</v>
      </c>
      <c r="E665" t="s">
        <v>34</v>
      </c>
      <c r="F665" t="s">
        <v>135</v>
      </c>
      <c r="G665">
        <v>2</v>
      </c>
      <c r="H665">
        <v>3.15</v>
      </c>
      <c r="I665">
        <v>6.3</v>
      </c>
      <c r="J665">
        <v>3.65</v>
      </c>
      <c r="K665">
        <v>2.65</v>
      </c>
      <c r="L665" t="s">
        <v>53</v>
      </c>
      <c r="M665" t="s">
        <v>29</v>
      </c>
      <c r="N665" t="s">
        <v>147</v>
      </c>
    </row>
    <row r="666" spans="1:14">
      <c r="A666" t="s">
        <v>1651</v>
      </c>
      <c r="B666" t="s">
        <v>1437</v>
      </c>
      <c r="C666" t="s">
        <v>186</v>
      </c>
      <c r="D666" t="s">
        <v>52</v>
      </c>
      <c r="E666" t="s">
        <v>18</v>
      </c>
      <c r="F666" t="s">
        <v>41</v>
      </c>
      <c r="G666">
        <v>5</v>
      </c>
      <c r="H666">
        <v>6.38</v>
      </c>
      <c r="I666">
        <v>31.9</v>
      </c>
      <c r="J666">
        <v>15.38</v>
      </c>
      <c r="K666">
        <v>16.52</v>
      </c>
      <c r="L666" t="s">
        <v>53</v>
      </c>
      <c r="M666" t="s">
        <v>29</v>
      </c>
      <c r="N666" t="s">
        <v>257</v>
      </c>
    </row>
    <row r="667" spans="1:14">
      <c r="A667" t="s">
        <v>1652</v>
      </c>
      <c r="B667" t="s">
        <v>342</v>
      </c>
      <c r="C667" t="s">
        <v>364</v>
      </c>
      <c r="D667" t="s">
        <v>69</v>
      </c>
      <c r="E667" t="s">
        <v>74</v>
      </c>
      <c r="F667" t="s">
        <v>83</v>
      </c>
      <c r="G667">
        <v>4</v>
      </c>
      <c r="H667">
        <v>7.63</v>
      </c>
      <c r="I667">
        <v>30.52</v>
      </c>
      <c r="J667">
        <v>15.35</v>
      </c>
      <c r="K667">
        <v>15.17</v>
      </c>
      <c r="L667" t="s">
        <v>53</v>
      </c>
      <c r="M667" t="s">
        <v>21</v>
      </c>
      <c r="N667" t="s">
        <v>22</v>
      </c>
    </row>
    <row r="668" spans="1:14">
      <c r="A668" t="s">
        <v>1653</v>
      </c>
      <c r="B668" t="s">
        <v>1113</v>
      </c>
      <c r="C668" t="s">
        <v>1654</v>
      </c>
      <c r="D668" t="s">
        <v>52</v>
      </c>
      <c r="E668" t="s">
        <v>74</v>
      </c>
      <c r="F668" t="s">
        <v>75</v>
      </c>
      <c r="G668">
        <v>4</v>
      </c>
      <c r="H668">
        <v>6.14</v>
      </c>
      <c r="I668">
        <v>24.56</v>
      </c>
      <c r="J668">
        <v>15.23</v>
      </c>
      <c r="K668">
        <v>9.33</v>
      </c>
      <c r="L668" t="s">
        <v>60</v>
      </c>
      <c r="M668" t="s">
        <v>54</v>
      </c>
      <c r="N668" t="s">
        <v>55</v>
      </c>
    </row>
    <row r="669" spans="1:14">
      <c r="A669" t="s">
        <v>1655</v>
      </c>
      <c r="B669" t="s">
        <v>699</v>
      </c>
      <c r="C669" t="s">
        <v>1656</v>
      </c>
      <c r="D669" t="s">
        <v>26</v>
      </c>
      <c r="E669" t="s">
        <v>27</v>
      </c>
      <c r="F669" t="s">
        <v>70</v>
      </c>
      <c r="G669">
        <v>1</v>
      </c>
      <c r="H669">
        <v>4.39</v>
      </c>
      <c r="I669">
        <v>4.39</v>
      </c>
      <c r="J669">
        <v>2.42</v>
      </c>
      <c r="K669">
        <v>1.97</v>
      </c>
      <c r="L669" t="s">
        <v>60</v>
      </c>
      <c r="M669" t="s">
        <v>21</v>
      </c>
      <c r="N669" t="s">
        <v>352</v>
      </c>
    </row>
    <row r="670" spans="1:14">
      <c r="A670" t="s">
        <v>1657</v>
      </c>
      <c r="B670" t="s">
        <v>305</v>
      </c>
      <c r="C670" t="s">
        <v>901</v>
      </c>
      <c r="D670" t="s">
        <v>26</v>
      </c>
      <c r="E670" t="s">
        <v>18</v>
      </c>
      <c r="F670" t="s">
        <v>19</v>
      </c>
      <c r="G670">
        <v>1</v>
      </c>
      <c r="H670">
        <v>3.68</v>
      </c>
      <c r="I670">
        <v>3.68</v>
      </c>
      <c r="J670">
        <v>2.2</v>
      </c>
      <c r="K670">
        <v>1.48</v>
      </c>
      <c r="L670" t="s">
        <v>36</v>
      </c>
      <c r="M670" t="s">
        <v>21</v>
      </c>
      <c r="N670" t="s">
        <v>794</v>
      </c>
    </row>
    <row r="671" spans="1:14">
      <c r="A671" t="s">
        <v>1658</v>
      </c>
      <c r="B671" t="s">
        <v>415</v>
      </c>
      <c r="C671" t="s">
        <v>1654</v>
      </c>
      <c r="D671" t="s">
        <v>26</v>
      </c>
      <c r="E671" t="s">
        <v>34</v>
      </c>
      <c r="F671" t="s">
        <v>135</v>
      </c>
      <c r="G671">
        <v>5</v>
      </c>
      <c r="H671">
        <v>3.12</v>
      </c>
      <c r="I671">
        <v>15.6</v>
      </c>
      <c r="J671">
        <v>9.58</v>
      </c>
      <c r="K671">
        <v>6.02</v>
      </c>
      <c r="L671" t="s">
        <v>20</v>
      </c>
      <c r="M671" t="s">
        <v>21</v>
      </c>
      <c r="N671" t="s">
        <v>139</v>
      </c>
    </row>
    <row r="672" spans="1:14">
      <c r="A672" t="s">
        <v>1659</v>
      </c>
      <c r="B672" t="s">
        <v>133</v>
      </c>
      <c r="C672" t="s">
        <v>1660</v>
      </c>
      <c r="D672" t="s">
        <v>52</v>
      </c>
      <c r="E672" t="s">
        <v>34</v>
      </c>
      <c r="F672" t="s">
        <v>135</v>
      </c>
      <c r="G672">
        <v>2</v>
      </c>
      <c r="H672">
        <v>7.98</v>
      </c>
      <c r="I672">
        <v>15.96</v>
      </c>
      <c r="J672">
        <v>7.6</v>
      </c>
      <c r="K672">
        <v>8.36</v>
      </c>
      <c r="L672" t="s">
        <v>53</v>
      </c>
      <c r="M672" t="s">
        <v>29</v>
      </c>
      <c r="N672" t="s">
        <v>111</v>
      </c>
    </row>
    <row r="673" spans="1:14">
      <c r="A673" t="s">
        <v>1661</v>
      </c>
      <c r="B673" t="s">
        <v>116</v>
      </c>
      <c r="C673" t="s">
        <v>1662</v>
      </c>
      <c r="D673" t="s">
        <v>17</v>
      </c>
      <c r="E673" t="s">
        <v>27</v>
      </c>
      <c r="F673" t="s">
        <v>169</v>
      </c>
      <c r="G673">
        <v>5</v>
      </c>
      <c r="H673">
        <v>7.25</v>
      </c>
      <c r="I673">
        <v>36.25</v>
      </c>
      <c r="J673">
        <v>16.96</v>
      </c>
      <c r="K673">
        <v>19.29</v>
      </c>
      <c r="L673" t="s">
        <v>60</v>
      </c>
      <c r="M673" t="s">
        <v>21</v>
      </c>
      <c r="N673" t="s">
        <v>470</v>
      </c>
    </row>
    <row r="674" spans="1:14">
      <c r="A674" t="s">
        <v>1663</v>
      </c>
      <c r="B674" t="s">
        <v>1113</v>
      </c>
      <c r="C674" t="s">
        <v>1664</v>
      </c>
      <c r="D674" t="s">
        <v>52</v>
      </c>
      <c r="E674" t="s">
        <v>34</v>
      </c>
      <c r="F674" t="s">
        <v>35</v>
      </c>
      <c r="G674">
        <v>5</v>
      </c>
      <c r="H674">
        <v>5.59</v>
      </c>
      <c r="I674">
        <v>27.95</v>
      </c>
      <c r="J674">
        <v>19.45</v>
      </c>
      <c r="K674">
        <v>8.5</v>
      </c>
      <c r="L674" t="s">
        <v>53</v>
      </c>
      <c r="M674" t="s">
        <v>29</v>
      </c>
      <c r="N674" t="s">
        <v>207</v>
      </c>
    </row>
    <row r="675" spans="1:14">
      <c r="A675" t="s">
        <v>1665</v>
      </c>
      <c r="B675" t="s">
        <v>588</v>
      </c>
      <c r="C675" t="s">
        <v>1666</v>
      </c>
      <c r="D675" t="s">
        <v>17</v>
      </c>
      <c r="E675" t="s">
        <v>18</v>
      </c>
      <c r="F675" t="s">
        <v>19</v>
      </c>
      <c r="G675">
        <v>1</v>
      </c>
      <c r="H675">
        <v>3.65</v>
      </c>
      <c r="I675">
        <v>3.65</v>
      </c>
      <c r="J675">
        <v>2.31</v>
      </c>
      <c r="K675">
        <v>1.34</v>
      </c>
      <c r="L675" t="s">
        <v>53</v>
      </c>
      <c r="M675" t="s">
        <v>54</v>
      </c>
      <c r="N675" t="s">
        <v>278</v>
      </c>
    </row>
    <row r="676" spans="1:14">
      <c r="A676" t="s">
        <v>1667</v>
      </c>
      <c r="B676" t="s">
        <v>339</v>
      </c>
      <c r="C676" t="s">
        <v>110</v>
      </c>
      <c r="D676" t="s">
        <v>46</v>
      </c>
      <c r="E676" t="s">
        <v>74</v>
      </c>
      <c r="F676" t="s">
        <v>83</v>
      </c>
      <c r="G676">
        <v>2</v>
      </c>
      <c r="H676">
        <v>3.37</v>
      </c>
      <c r="I676">
        <v>6.74</v>
      </c>
      <c r="J676">
        <v>4.64</v>
      </c>
      <c r="K676">
        <v>2.1</v>
      </c>
      <c r="L676" t="s">
        <v>60</v>
      </c>
      <c r="M676" t="s">
        <v>54</v>
      </c>
      <c r="N676" t="s">
        <v>783</v>
      </c>
    </row>
    <row r="677" spans="1:14">
      <c r="A677" t="s">
        <v>1668</v>
      </c>
      <c r="B677" t="s">
        <v>1619</v>
      </c>
      <c r="C677" t="s">
        <v>1669</v>
      </c>
      <c r="D677" t="s">
        <v>26</v>
      </c>
      <c r="E677" t="s">
        <v>34</v>
      </c>
      <c r="F677" t="s">
        <v>35</v>
      </c>
      <c r="G677">
        <v>2</v>
      </c>
      <c r="H677">
        <v>7.91</v>
      </c>
      <c r="I677">
        <v>15.82</v>
      </c>
      <c r="J677">
        <v>8.44</v>
      </c>
      <c r="K677">
        <v>7.38</v>
      </c>
      <c r="L677" t="s">
        <v>60</v>
      </c>
      <c r="M677" t="s">
        <v>21</v>
      </c>
      <c r="N677" t="s">
        <v>422</v>
      </c>
    </row>
    <row r="678" spans="1:14">
      <c r="A678" t="s">
        <v>1670</v>
      </c>
      <c r="B678" t="s">
        <v>412</v>
      </c>
      <c r="C678" t="s">
        <v>1607</v>
      </c>
      <c r="D678" t="s">
        <v>17</v>
      </c>
      <c r="E678" t="s">
        <v>34</v>
      </c>
      <c r="F678" t="s">
        <v>59</v>
      </c>
      <c r="G678">
        <v>5</v>
      </c>
      <c r="H678">
        <v>4.45</v>
      </c>
      <c r="I678">
        <v>22.25</v>
      </c>
      <c r="J678">
        <v>12.44</v>
      </c>
      <c r="K678">
        <v>9.81</v>
      </c>
      <c r="L678" t="s">
        <v>53</v>
      </c>
      <c r="M678" t="s">
        <v>29</v>
      </c>
      <c r="N678" t="s">
        <v>79</v>
      </c>
    </row>
    <row r="679" spans="1:14">
      <c r="A679" t="s">
        <v>1671</v>
      </c>
      <c r="B679" t="s">
        <v>90</v>
      </c>
      <c r="C679" t="s">
        <v>1660</v>
      </c>
      <c r="D679" t="s">
        <v>26</v>
      </c>
      <c r="E679" t="s">
        <v>27</v>
      </c>
      <c r="F679" t="s">
        <v>169</v>
      </c>
      <c r="G679">
        <v>2</v>
      </c>
      <c r="H679">
        <v>6.89</v>
      </c>
      <c r="I679">
        <v>13.78</v>
      </c>
      <c r="J679">
        <v>9.6</v>
      </c>
      <c r="K679">
        <v>4.18</v>
      </c>
      <c r="L679" t="s">
        <v>60</v>
      </c>
      <c r="M679" t="s">
        <v>21</v>
      </c>
      <c r="N679" t="s">
        <v>422</v>
      </c>
    </row>
    <row r="680" spans="1:14">
      <c r="A680" t="s">
        <v>1672</v>
      </c>
      <c r="B680" t="s">
        <v>798</v>
      </c>
      <c r="C680" t="s">
        <v>1673</v>
      </c>
      <c r="D680" t="s">
        <v>69</v>
      </c>
      <c r="E680" t="s">
        <v>18</v>
      </c>
      <c r="F680" t="s">
        <v>146</v>
      </c>
      <c r="G680">
        <v>5</v>
      </c>
      <c r="H680">
        <v>5.6</v>
      </c>
      <c r="I680">
        <v>28</v>
      </c>
      <c r="J680">
        <v>19.2</v>
      </c>
      <c r="K680">
        <v>8.8</v>
      </c>
      <c r="L680" t="s">
        <v>53</v>
      </c>
      <c r="M680" t="s">
        <v>54</v>
      </c>
      <c r="N680" t="s">
        <v>410</v>
      </c>
    </row>
    <row r="681" spans="1:14">
      <c r="A681" t="s">
        <v>1674</v>
      </c>
      <c r="B681" t="s">
        <v>354</v>
      </c>
      <c r="C681" t="s">
        <v>1675</v>
      </c>
      <c r="D681" t="s">
        <v>52</v>
      </c>
      <c r="E681" t="s">
        <v>18</v>
      </c>
      <c r="F681" t="s">
        <v>146</v>
      </c>
      <c r="G681">
        <v>5</v>
      </c>
      <c r="H681">
        <v>6.09</v>
      </c>
      <c r="I681">
        <v>30.45</v>
      </c>
      <c r="J681">
        <v>19.65</v>
      </c>
      <c r="K681">
        <v>10.8</v>
      </c>
      <c r="L681" t="s">
        <v>36</v>
      </c>
      <c r="M681" t="s">
        <v>21</v>
      </c>
      <c r="N681" t="s">
        <v>55</v>
      </c>
    </row>
    <row r="682" spans="1:14">
      <c r="A682" t="s">
        <v>1676</v>
      </c>
      <c r="B682" t="s">
        <v>39</v>
      </c>
      <c r="C682" t="s">
        <v>711</v>
      </c>
      <c r="D682" t="s">
        <v>17</v>
      </c>
      <c r="E682" t="s">
        <v>18</v>
      </c>
      <c r="F682" t="s">
        <v>146</v>
      </c>
      <c r="G682">
        <v>4</v>
      </c>
      <c r="H682">
        <v>5.9</v>
      </c>
      <c r="I682">
        <v>23.6</v>
      </c>
      <c r="J682">
        <v>15.49</v>
      </c>
      <c r="K682">
        <v>8.11</v>
      </c>
      <c r="L682" t="s">
        <v>20</v>
      </c>
      <c r="M682" t="s">
        <v>21</v>
      </c>
      <c r="N682" t="s">
        <v>79</v>
      </c>
    </row>
    <row r="683" spans="1:14">
      <c r="A683" t="s">
        <v>1677</v>
      </c>
      <c r="B683" t="s">
        <v>1678</v>
      </c>
      <c r="C683" t="s">
        <v>1679</v>
      </c>
      <c r="D683" t="s">
        <v>17</v>
      </c>
      <c r="E683" t="s">
        <v>27</v>
      </c>
      <c r="F683" t="s">
        <v>125</v>
      </c>
      <c r="G683">
        <v>2</v>
      </c>
      <c r="H683">
        <v>7.82</v>
      </c>
      <c r="I683">
        <v>15.64</v>
      </c>
      <c r="J683">
        <v>9.17</v>
      </c>
      <c r="K683">
        <v>6.47</v>
      </c>
      <c r="L683" t="s">
        <v>20</v>
      </c>
      <c r="M683" t="s">
        <v>54</v>
      </c>
      <c r="N683" t="s">
        <v>84</v>
      </c>
    </row>
    <row r="684" spans="1:14">
      <c r="A684" t="s">
        <v>1680</v>
      </c>
      <c r="B684" t="s">
        <v>1681</v>
      </c>
      <c r="C684" t="s">
        <v>1682</v>
      </c>
      <c r="D684" t="s">
        <v>26</v>
      </c>
      <c r="E684" t="s">
        <v>18</v>
      </c>
      <c r="F684" t="s">
        <v>146</v>
      </c>
      <c r="G684">
        <v>1</v>
      </c>
      <c r="H684">
        <v>3.68</v>
      </c>
      <c r="I684">
        <v>3.68</v>
      </c>
      <c r="J684">
        <v>2.14</v>
      </c>
      <c r="K684">
        <v>1.54</v>
      </c>
      <c r="L684" t="s">
        <v>36</v>
      </c>
      <c r="M684" t="s">
        <v>29</v>
      </c>
      <c r="N684" t="s">
        <v>285</v>
      </c>
    </row>
    <row r="685" spans="1:14">
      <c r="A685" t="s">
        <v>1683</v>
      </c>
      <c r="B685" t="s">
        <v>493</v>
      </c>
      <c r="C685" t="s">
        <v>1684</v>
      </c>
      <c r="D685" t="s">
        <v>52</v>
      </c>
      <c r="E685" t="s">
        <v>34</v>
      </c>
      <c r="F685" t="s">
        <v>130</v>
      </c>
      <c r="G685">
        <v>4</v>
      </c>
      <c r="H685">
        <v>6.87</v>
      </c>
      <c r="I685">
        <v>27.48</v>
      </c>
      <c r="J685">
        <v>17.08</v>
      </c>
      <c r="K685">
        <v>10.4</v>
      </c>
      <c r="L685" t="s">
        <v>36</v>
      </c>
      <c r="M685" t="s">
        <v>29</v>
      </c>
      <c r="N685" t="s">
        <v>287</v>
      </c>
    </row>
    <row r="686" spans="1:14">
      <c r="A686" t="s">
        <v>1685</v>
      </c>
      <c r="B686" t="s">
        <v>880</v>
      </c>
      <c r="C686" t="s">
        <v>1686</v>
      </c>
      <c r="D686" t="s">
        <v>46</v>
      </c>
      <c r="E686" t="s">
        <v>74</v>
      </c>
      <c r="F686" t="s">
        <v>92</v>
      </c>
      <c r="G686">
        <v>4</v>
      </c>
      <c r="H686">
        <v>4.13</v>
      </c>
      <c r="I686">
        <v>16.52</v>
      </c>
      <c r="J686">
        <v>8.96</v>
      </c>
      <c r="K686">
        <v>7.56</v>
      </c>
      <c r="L686" t="s">
        <v>36</v>
      </c>
      <c r="M686" t="s">
        <v>29</v>
      </c>
      <c r="N686" t="s">
        <v>216</v>
      </c>
    </row>
    <row r="687" spans="1:14">
      <c r="A687" t="s">
        <v>1687</v>
      </c>
      <c r="B687" t="s">
        <v>505</v>
      </c>
      <c r="C687" t="s">
        <v>654</v>
      </c>
      <c r="D687" t="s">
        <v>46</v>
      </c>
      <c r="E687" t="s">
        <v>27</v>
      </c>
      <c r="F687" t="s">
        <v>70</v>
      </c>
      <c r="G687">
        <v>1</v>
      </c>
      <c r="H687">
        <v>5.98</v>
      </c>
      <c r="I687">
        <v>5.98</v>
      </c>
      <c r="J687">
        <v>2.98</v>
      </c>
      <c r="K687">
        <v>3</v>
      </c>
      <c r="L687" t="s">
        <v>20</v>
      </c>
      <c r="M687" t="s">
        <v>21</v>
      </c>
      <c r="N687" t="s">
        <v>970</v>
      </c>
    </row>
    <row r="688" spans="1:14">
      <c r="A688" t="s">
        <v>1688</v>
      </c>
      <c r="B688" t="s">
        <v>255</v>
      </c>
      <c r="C688" t="s">
        <v>1092</v>
      </c>
      <c r="D688" t="s">
        <v>26</v>
      </c>
      <c r="E688" t="s">
        <v>74</v>
      </c>
      <c r="F688" t="s">
        <v>83</v>
      </c>
      <c r="G688">
        <v>4</v>
      </c>
      <c r="H688">
        <v>3.47</v>
      </c>
      <c r="I688">
        <v>13.88</v>
      </c>
      <c r="J688">
        <v>7.55</v>
      </c>
      <c r="K688">
        <v>6.33</v>
      </c>
      <c r="L688" t="s">
        <v>53</v>
      </c>
      <c r="M688" t="s">
        <v>21</v>
      </c>
      <c r="N688" t="s">
        <v>401</v>
      </c>
    </row>
    <row r="689" spans="1:14">
      <c r="A689" t="s">
        <v>1689</v>
      </c>
      <c r="B689" t="s">
        <v>541</v>
      </c>
      <c r="C689" t="s">
        <v>1690</v>
      </c>
      <c r="D689" t="s">
        <v>69</v>
      </c>
      <c r="E689" t="s">
        <v>18</v>
      </c>
      <c r="F689" t="s">
        <v>19</v>
      </c>
      <c r="G689">
        <v>2</v>
      </c>
      <c r="H689">
        <v>6.41</v>
      </c>
      <c r="I689">
        <v>12.82</v>
      </c>
      <c r="J689">
        <v>6.27</v>
      </c>
      <c r="K689">
        <v>6.55</v>
      </c>
      <c r="L689" t="s">
        <v>53</v>
      </c>
      <c r="M689" t="s">
        <v>54</v>
      </c>
      <c r="N689" t="s">
        <v>147</v>
      </c>
    </row>
    <row r="690" spans="1:14">
      <c r="A690" t="s">
        <v>1691</v>
      </c>
      <c r="B690" t="s">
        <v>405</v>
      </c>
      <c r="C690" t="s">
        <v>1692</v>
      </c>
      <c r="D690" t="s">
        <v>69</v>
      </c>
      <c r="E690" t="s">
        <v>34</v>
      </c>
      <c r="F690" t="s">
        <v>35</v>
      </c>
      <c r="G690">
        <v>2</v>
      </c>
      <c r="H690">
        <v>5.91</v>
      </c>
      <c r="I690">
        <v>11.82</v>
      </c>
      <c r="J690">
        <v>8.17</v>
      </c>
      <c r="K690">
        <v>3.65</v>
      </c>
      <c r="L690" t="s">
        <v>20</v>
      </c>
      <c r="M690" t="s">
        <v>54</v>
      </c>
      <c r="N690" t="s">
        <v>223</v>
      </c>
    </row>
    <row r="691" spans="1:14">
      <c r="A691" t="s">
        <v>1693</v>
      </c>
      <c r="B691" t="s">
        <v>811</v>
      </c>
      <c r="C691" t="s">
        <v>430</v>
      </c>
      <c r="D691" t="s">
        <v>52</v>
      </c>
      <c r="E691" t="s">
        <v>74</v>
      </c>
      <c r="F691" t="s">
        <v>92</v>
      </c>
      <c r="G691">
        <v>2</v>
      </c>
      <c r="H691">
        <v>3.64</v>
      </c>
      <c r="I691">
        <v>7.28</v>
      </c>
      <c r="J691">
        <v>3.29</v>
      </c>
      <c r="K691">
        <v>3.99</v>
      </c>
      <c r="L691" t="s">
        <v>60</v>
      </c>
      <c r="M691" t="s">
        <v>21</v>
      </c>
      <c r="N691" t="s">
        <v>451</v>
      </c>
    </row>
    <row r="692" spans="1:14">
      <c r="A692" t="s">
        <v>1694</v>
      </c>
      <c r="B692" t="s">
        <v>653</v>
      </c>
      <c r="C692" t="s">
        <v>646</v>
      </c>
      <c r="D692" t="s">
        <v>69</v>
      </c>
      <c r="E692" t="s">
        <v>27</v>
      </c>
      <c r="F692" t="s">
        <v>70</v>
      </c>
      <c r="G692">
        <v>1</v>
      </c>
      <c r="H692">
        <v>3.35</v>
      </c>
      <c r="I692">
        <v>3.35</v>
      </c>
      <c r="J692">
        <v>2.08</v>
      </c>
      <c r="K692">
        <v>1.27</v>
      </c>
      <c r="L692" t="s">
        <v>53</v>
      </c>
      <c r="M692" t="s">
        <v>54</v>
      </c>
      <c r="N692" t="s">
        <v>850</v>
      </c>
    </row>
    <row r="693" spans="1:14">
      <c r="A693" t="s">
        <v>1695</v>
      </c>
      <c r="B693" t="s">
        <v>1091</v>
      </c>
      <c r="C693" t="s">
        <v>1696</v>
      </c>
      <c r="D693" t="s">
        <v>17</v>
      </c>
      <c r="E693" t="s">
        <v>74</v>
      </c>
      <c r="F693" t="s">
        <v>83</v>
      </c>
      <c r="G693">
        <v>1</v>
      </c>
      <c r="H693">
        <v>5.32</v>
      </c>
      <c r="I693">
        <v>5.32</v>
      </c>
      <c r="J693">
        <v>3.34</v>
      </c>
      <c r="K693">
        <v>1.98</v>
      </c>
      <c r="L693" t="s">
        <v>53</v>
      </c>
      <c r="M693" t="s">
        <v>29</v>
      </c>
      <c r="N693" t="s">
        <v>114</v>
      </c>
    </row>
    <row r="694" spans="1:14">
      <c r="A694" t="s">
        <v>1697</v>
      </c>
      <c r="B694" t="s">
        <v>848</v>
      </c>
      <c r="C694" t="s">
        <v>82</v>
      </c>
      <c r="D694" t="s">
        <v>69</v>
      </c>
      <c r="E694" t="s">
        <v>18</v>
      </c>
      <c r="F694" t="s">
        <v>41</v>
      </c>
      <c r="G694">
        <v>2</v>
      </c>
      <c r="H694">
        <v>4.75</v>
      </c>
      <c r="I694">
        <v>9.5</v>
      </c>
      <c r="J694">
        <v>5.39</v>
      </c>
      <c r="K694">
        <v>4.11</v>
      </c>
      <c r="L694" t="s">
        <v>36</v>
      </c>
      <c r="M694" t="s">
        <v>21</v>
      </c>
      <c r="N694" t="s">
        <v>118</v>
      </c>
    </row>
    <row r="695" spans="1:14">
      <c r="A695" t="s">
        <v>1698</v>
      </c>
      <c r="B695" t="s">
        <v>1699</v>
      </c>
      <c r="C695" t="s">
        <v>716</v>
      </c>
      <c r="D695" t="s">
        <v>52</v>
      </c>
      <c r="E695" t="s">
        <v>18</v>
      </c>
      <c r="F695" t="s">
        <v>19</v>
      </c>
      <c r="G695">
        <v>1</v>
      </c>
      <c r="H695">
        <v>4.59</v>
      </c>
      <c r="I695">
        <v>4.59</v>
      </c>
      <c r="J695">
        <v>3.21</v>
      </c>
      <c r="K695">
        <v>1.38</v>
      </c>
      <c r="L695" t="s">
        <v>20</v>
      </c>
      <c r="M695" t="s">
        <v>54</v>
      </c>
      <c r="N695" t="s">
        <v>384</v>
      </c>
    </row>
    <row r="696" spans="1:14">
      <c r="A696" t="s">
        <v>1700</v>
      </c>
      <c r="B696" t="s">
        <v>120</v>
      </c>
      <c r="C696" t="s">
        <v>1701</v>
      </c>
      <c r="D696" t="s">
        <v>52</v>
      </c>
      <c r="E696" t="s">
        <v>34</v>
      </c>
      <c r="F696" t="s">
        <v>130</v>
      </c>
      <c r="G696">
        <v>4</v>
      </c>
      <c r="H696">
        <v>4.12</v>
      </c>
      <c r="I696">
        <v>16.48</v>
      </c>
      <c r="J696">
        <v>7.52</v>
      </c>
      <c r="K696">
        <v>8.96</v>
      </c>
      <c r="L696" t="s">
        <v>36</v>
      </c>
      <c r="M696" t="s">
        <v>21</v>
      </c>
      <c r="N696" t="s">
        <v>470</v>
      </c>
    </row>
    <row r="697" spans="1:14">
      <c r="A697" t="s">
        <v>1702</v>
      </c>
      <c r="B697" t="s">
        <v>375</v>
      </c>
      <c r="C697" t="s">
        <v>1703</v>
      </c>
      <c r="D697" t="s">
        <v>69</v>
      </c>
      <c r="E697" t="s">
        <v>34</v>
      </c>
      <c r="F697" t="s">
        <v>130</v>
      </c>
      <c r="G697">
        <v>2</v>
      </c>
      <c r="H697">
        <v>7.04</v>
      </c>
      <c r="I697">
        <v>14.08</v>
      </c>
      <c r="J697">
        <v>7.46</v>
      </c>
      <c r="K697">
        <v>6.62</v>
      </c>
      <c r="L697" t="s">
        <v>36</v>
      </c>
      <c r="M697" t="s">
        <v>54</v>
      </c>
      <c r="N697" t="s">
        <v>451</v>
      </c>
    </row>
    <row r="698" spans="1:14">
      <c r="A698" t="s">
        <v>1704</v>
      </c>
      <c r="B698" t="s">
        <v>827</v>
      </c>
      <c r="C698" t="s">
        <v>1705</v>
      </c>
      <c r="D698" t="s">
        <v>17</v>
      </c>
      <c r="E698" t="s">
        <v>18</v>
      </c>
      <c r="F698" t="s">
        <v>146</v>
      </c>
      <c r="G698">
        <v>3</v>
      </c>
      <c r="H698">
        <v>6.51</v>
      </c>
      <c r="I698">
        <v>19.53</v>
      </c>
      <c r="J698">
        <v>13.19</v>
      </c>
      <c r="K698">
        <v>6.34</v>
      </c>
      <c r="L698" t="s">
        <v>60</v>
      </c>
      <c r="M698" t="s">
        <v>21</v>
      </c>
      <c r="N698" t="s">
        <v>48</v>
      </c>
    </row>
    <row r="699" spans="1:14">
      <c r="A699" t="s">
        <v>1706</v>
      </c>
      <c r="B699" t="s">
        <v>247</v>
      </c>
      <c r="C699" t="s">
        <v>1707</v>
      </c>
      <c r="D699" t="s">
        <v>46</v>
      </c>
      <c r="E699" t="s">
        <v>74</v>
      </c>
      <c r="F699" t="s">
        <v>75</v>
      </c>
      <c r="G699">
        <v>5</v>
      </c>
      <c r="H699">
        <v>6.64</v>
      </c>
      <c r="I699">
        <v>33.2</v>
      </c>
      <c r="J699">
        <v>22.08</v>
      </c>
      <c r="K699">
        <v>11.12</v>
      </c>
      <c r="L699" t="s">
        <v>20</v>
      </c>
      <c r="M699" t="s">
        <v>54</v>
      </c>
      <c r="N699" t="s">
        <v>37</v>
      </c>
    </row>
    <row r="700" spans="1:14">
      <c r="A700" t="s">
        <v>1708</v>
      </c>
      <c r="B700" t="s">
        <v>697</v>
      </c>
      <c r="C700" t="s">
        <v>1709</v>
      </c>
      <c r="D700" t="s">
        <v>69</v>
      </c>
      <c r="E700" t="s">
        <v>27</v>
      </c>
      <c r="F700" t="s">
        <v>169</v>
      </c>
      <c r="G700">
        <v>1</v>
      </c>
      <c r="H700">
        <v>6.79</v>
      </c>
      <c r="I700">
        <v>6.79</v>
      </c>
      <c r="J700">
        <v>3.92</v>
      </c>
      <c r="K700">
        <v>2.87</v>
      </c>
      <c r="L700" t="s">
        <v>20</v>
      </c>
      <c r="M700" t="s">
        <v>21</v>
      </c>
      <c r="N700" t="s">
        <v>61</v>
      </c>
    </row>
    <row r="701" spans="1:14">
      <c r="A701" t="s">
        <v>1710</v>
      </c>
      <c r="B701" t="s">
        <v>1711</v>
      </c>
      <c r="C701" t="s">
        <v>1712</v>
      </c>
      <c r="D701" t="s">
        <v>69</v>
      </c>
      <c r="E701" t="s">
        <v>74</v>
      </c>
      <c r="F701" t="s">
        <v>92</v>
      </c>
      <c r="G701">
        <v>5</v>
      </c>
      <c r="H701">
        <v>4.2</v>
      </c>
      <c r="I701">
        <v>21</v>
      </c>
      <c r="J701">
        <v>12.7</v>
      </c>
      <c r="K701">
        <v>8.3</v>
      </c>
      <c r="L701" t="s">
        <v>60</v>
      </c>
      <c r="M701" t="s">
        <v>54</v>
      </c>
      <c r="N701" t="s">
        <v>599</v>
      </c>
    </row>
    <row r="702" spans="1:14">
      <c r="A702" t="s">
        <v>1713</v>
      </c>
      <c r="B702" t="s">
        <v>244</v>
      </c>
      <c r="C702" t="s">
        <v>1714</v>
      </c>
      <c r="D702" t="s">
        <v>26</v>
      </c>
      <c r="E702" t="s">
        <v>74</v>
      </c>
      <c r="F702" t="s">
        <v>75</v>
      </c>
      <c r="G702">
        <v>1</v>
      </c>
      <c r="H702">
        <v>4</v>
      </c>
      <c r="I702">
        <v>4</v>
      </c>
      <c r="J702">
        <v>2.7</v>
      </c>
      <c r="K702">
        <v>1.3</v>
      </c>
      <c r="L702" t="s">
        <v>60</v>
      </c>
      <c r="M702" t="s">
        <v>29</v>
      </c>
      <c r="N702" t="s">
        <v>796</v>
      </c>
    </row>
    <row r="703" spans="1:14">
      <c r="A703" t="s">
        <v>1715</v>
      </c>
      <c r="B703" t="s">
        <v>172</v>
      </c>
      <c r="C703" t="s">
        <v>1716</v>
      </c>
      <c r="D703" t="s">
        <v>69</v>
      </c>
      <c r="E703" t="s">
        <v>18</v>
      </c>
      <c r="F703" t="s">
        <v>146</v>
      </c>
      <c r="G703">
        <v>1</v>
      </c>
      <c r="H703">
        <v>4.83</v>
      </c>
      <c r="I703">
        <v>4.83</v>
      </c>
      <c r="J703">
        <v>3.36</v>
      </c>
      <c r="K703">
        <v>1.47</v>
      </c>
      <c r="L703" t="s">
        <v>60</v>
      </c>
      <c r="M703" t="s">
        <v>29</v>
      </c>
      <c r="N703" t="s">
        <v>422</v>
      </c>
    </row>
    <row r="704" spans="1:14">
      <c r="A704" t="s">
        <v>1717</v>
      </c>
      <c r="B704" t="s">
        <v>63</v>
      </c>
      <c r="C704" t="s">
        <v>894</v>
      </c>
      <c r="D704" t="s">
        <v>52</v>
      </c>
      <c r="E704" t="s">
        <v>74</v>
      </c>
      <c r="F704" t="s">
        <v>75</v>
      </c>
      <c r="G704">
        <v>5</v>
      </c>
      <c r="H704">
        <v>6.35</v>
      </c>
      <c r="I704">
        <v>31.75</v>
      </c>
      <c r="J704">
        <v>19.76</v>
      </c>
      <c r="K704">
        <v>11.99</v>
      </c>
      <c r="L704" t="s">
        <v>36</v>
      </c>
      <c r="M704" t="s">
        <v>21</v>
      </c>
      <c r="N704" t="s">
        <v>384</v>
      </c>
    </row>
    <row r="705" spans="1:14">
      <c r="A705" t="s">
        <v>1718</v>
      </c>
      <c r="B705" t="s">
        <v>1719</v>
      </c>
      <c r="C705" t="s">
        <v>1720</v>
      </c>
      <c r="D705" t="s">
        <v>69</v>
      </c>
      <c r="E705" t="s">
        <v>34</v>
      </c>
      <c r="F705" t="s">
        <v>35</v>
      </c>
      <c r="G705">
        <v>1</v>
      </c>
      <c r="H705">
        <v>4.94</v>
      </c>
      <c r="I705">
        <v>4.94</v>
      </c>
      <c r="J705">
        <v>3.36</v>
      </c>
      <c r="K705">
        <v>1.58</v>
      </c>
      <c r="L705" t="s">
        <v>60</v>
      </c>
      <c r="M705" t="s">
        <v>29</v>
      </c>
      <c r="N705" t="s">
        <v>261</v>
      </c>
    </row>
    <row r="706" spans="1:14">
      <c r="A706" t="s">
        <v>1721</v>
      </c>
      <c r="B706" t="s">
        <v>848</v>
      </c>
      <c r="C706" t="s">
        <v>194</v>
      </c>
      <c r="D706" t="s">
        <v>52</v>
      </c>
      <c r="E706" t="s">
        <v>18</v>
      </c>
      <c r="F706" t="s">
        <v>41</v>
      </c>
      <c r="G706">
        <v>1</v>
      </c>
      <c r="H706">
        <v>6.91</v>
      </c>
      <c r="I706">
        <v>6.91</v>
      </c>
      <c r="J706">
        <v>3.45</v>
      </c>
      <c r="K706">
        <v>3.46</v>
      </c>
      <c r="L706" t="s">
        <v>36</v>
      </c>
      <c r="M706" t="s">
        <v>21</v>
      </c>
      <c r="N706" t="s">
        <v>48</v>
      </c>
    </row>
    <row r="707" spans="1:14">
      <c r="A707" t="s">
        <v>1722</v>
      </c>
      <c r="B707" t="s">
        <v>39</v>
      </c>
      <c r="C707" t="s">
        <v>1723</v>
      </c>
      <c r="D707" t="s">
        <v>52</v>
      </c>
      <c r="E707" t="s">
        <v>18</v>
      </c>
      <c r="F707" t="s">
        <v>41</v>
      </c>
      <c r="G707">
        <v>5</v>
      </c>
      <c r="H707">
        <v>5.46</v>
      </c>
      <c r="I707">
        <v>27.3</v>
      </c>
      <c r="J707">
        <v>17.91</v>
      </c>
      <c r="K707">
        <v>9.39</v>
      </c>
      <c r="L707" t="s">
        <v>60</v>
      </c>
      <c r="M707" t="s">
        <v>29</v>
      </c>
      <c r="N707" t="s">
        <v>191</v>
      </c>
    </row>
    <row r="708" spans="1:14">
      <c r="A708" t="s">
        <v>1724</v>
      </c>
      <c r="B708" t="s">
        <v>360</v>
      </c>
      <c r="C708" t="s">
        <v>1725</v>
      </c>
      <c r="D708" t="s">
        <v>17</v>
      </c>
      <c r="E708" t="s">
        <v>34</v>
      </c>
      <c r="F708" t="s">
        <v>47</v>
      </c>
      <c r="G708">
        <v>5</v>
      </c>
      <c r="H708">
        <v>4.1</v>
      </c>
      <c r="I708">
        <v>20.5</v>
      </c>
      <c r="J708">
        <v>12.47</v>
      </c>
      <c r="K708">
        <v>8.03</v>
      </c>
      <c r="L708" t="s">
        <v>20</v>
      </c>
      <c r="M708" t="s">
        <v>54</v>
      </c>
      <c r="N708" t="s">
        <v>142</v>
      </c>
    </row>
    <row r="709" spans="1:14">
      <c r="A709" t="s">
        <v>1726</v>
      </c>
      <c r="B709" t="s">
        <v>1727</v>
      </c>
      <c r="C709" t="s">
        <v>211</v>
      </c>
      <c r="D709" t="s">
        <v>52</v>
      </c>
      <c r="E709" t="s">
        <v>74</v>
      </c>
      <c r="F709" t="s">
        <v>75</v>
      </c>
      <c r="G709">
        <v>2</v>
      </c>
      <c r="H709">
        <v>3.76</v>
      </c>
      <c r="I709">
        <v>7.52</v>
      </c>
      <c r="J709">
        <v>5.24</v>
      </c>
      <c r="K709">
        <v>2.28</v>
      </c>
      <c r="L709" t="s">
        <v>53</v>
      </c>
      <c r="M709" t="s">
        <v>21</v>
      </c>
      <c r="N709" t="s">
        <v>278</v>
      </c>
    </row>
    <row r="710" spans="1:14">
      <c r="A710" t="s">
        <v>1728</v>
      </c>
      <c r="B710" t="s">
        <v>328</v>
      </c>
      <c r="C710" t="s">
        <v>1729</v>
      </c>
      <c r="D710" t="s">
        <v>46</v>
      </c>
      <c r="E710" t="s">
        <v>34</v>
      </c>
      <c r="F710" t="s">
        <v>47</v>
      </c>
      <c r="G710">
        <v>4</v>
      </c>
      <c r="H710">
        <v>2.92</v>
      </c>
      <c r="I710">
        <v>11.68</v>
      </c>
      <c r="J710">
        <v>7.16</v>
      </c>
      <c r="K710">
        <v>4.52</v>
      </c>
      <c r="L710" t="s">
        <v>53</v>
      </c>
      <c r="M710" t="s">
        <v>54</v>
      </c>
      <c r="N710" t="s">
        <v>381</v>
      </c>
    </row>
    <row r="711" spans="1:14">
      <c r="A711" t="s">
        <v>1730</v>
      </c>
      <c r="B711" t="s">
        <v>266</v>
      </c>
      <c r="C711" t="s">
        <v>1731</v>
      </c>
      <c r="D711" t="s">
        <v>69</v>
      </c>
      <c r="E711" t="s">
        <v>27</v>
      </c>
      <c r="F711" t="s">
        <v>28</v>
      </c>
      <c r="G711">
        <v>4</v>
      </c>
      <c r="H711">
        <v>4.34</v>
      </c>
      <c r="I711">
        <v>17.36</v>
      </c>
      <c r="J711">
        <v>8</v>
      </c>
      <c r="K711">
        <v>9.36</v>
      </c>
      <c r="L711" t="s">
        <v>60</v>
      </c>
      <c r="M711" t="s">
        <v>21</v>
      </c>
      <c r="N711" t="s">
        <v>88</v>
      </c>
    </row>
    <row r="712" spans="1:14">
      <c r="A712" t="s">
        <v>1732</v>
      </c>
      <c r="B712" t="s">
        <v>301</v>
      </c>
      <c r="C712" t="s">
        <v>1733</v>
      </c>
      <c r="D712" t="s">
        <v>52</v>
      </c>
      <c r="E712" t="s">
        <v>74</v>
      </c>
      <c r="F712" t="s">
        <v>75</v>
      </c>
      <c r="G712">
        <v>3</v>
      </c>
      <c r="H712">
        <v>7.82</v>
      </c>
      <c r="I712">
        <v>23.46</v>
      </c>
      <c r="J712">
        <v>12.31</v>
      </c>
      <c r="K712">
        <v>11.15</v>
      </c>
      <c r="L712" t="s">
        <v>53</v>
      </c>
      <c r="M712" t="s">
        <v>21</v>
      </c>
      <c r="N712" t="s">
        <v>970</v>
      </c>
    </row>
    <row r="713" spans="1:14">
      <c r="A713" t="s">
        <v>1734</v>
      </c>
      <c r="B713" t="s">
        <v>1735</v>
      </c>
      <c r="C713" t="s">
        <v>1310</v>
      </c>
      <c r="D713" t="s">
        <v>17</v>
      </c>
      <c r="E713" t="s">
        <v>74</v>
      </c>
      <c r="F713" t="s">
        <v>75</v>
      </c>
      <c r="G713">
        <v>4</v>
      </c>
      <c r="H713">
        <v>6.37</v>
      </c>
      <c r="I713">
        <v>25.48</v>
      </c>
      <c r="J713">
        <v>14.71</v>
      </c>
      <c r="K713">
        <v>10.77</v>
      </c>
      <c r="L713" t="s">
        <v>60</v>
      </c>
      <c r="M713" t="s">
        <v>54</v>
      </c>
      <c r="N713" t="s">
        <v>644</v>
      </c>
    </row>
    <row r="714" spans="1:14">
      <c r="A714" t="s">
        <v>1736</v>
      </c>
      <c r="B714" t="s">
        <v>116</v>
      </c>
      <c r="C714" t="s">
        <v>1737</v>
      </c>
      <c r="D714" t="s">
        <v>69</v>
      </c>
      <c r="E714" t="s">
        <v>74</v>
      </c>
      <c r="F714" t="s">
        <v>92</v>
      </c>
      <c r="G714">
        <v>2</v>
      </c>
      <c r="H714">
        <v>6.68</v>
      </c>
      <c r="I714">
        <v>13.36</v>
      </c>
      <c r="J714">
        <v>8.71</v>
      </c>
      <c r="K714">
        <v>4.65</v>
      </c>
      <c r="L714" t="s">
        <v>20</v>
      </c>
      <c r="M714" t="s">
        <v>21</v>
      </c>
      <c r="N714" t="s">
        <v>79</v>
      </c>
    </row>
    <row r="715" spans="1:14">
      <c r="A715" t="s">
        <v>1738</v>
      </c>
      <c r="B715" t="s">
        <v>1719</v>
      </c>
      <c r="C715" t="s">
        <v>1739</v>
      </c>
      <c r="D715" t="s">
        <v>46</v>
      </c>
      <c r="E715" t="s">
        <v>74</v>
      </c>
      <c r="F715" t="s">
        <v>75</v>
      </c>
      <c r="G715">
        <v>4</v>
      </c>
      <c r="H715">
        <v>6.68</v>
      </c>
      <c r="I715">
        <v>26.72</v>
      </c>
      <c r="J715">
        <v>15.75</v>
      </c>
      <c r="K715">
        <v>10.97</v>
      </c>
      <c r="L715" t="s">
        <v>20</v>
      </c>
      <c r="M715" t="s">
        <v>29</v>
      </c>
      <c r="N715" t="s">
        <v>783</v>
      </c>
    </row>
    <row r="716" spans="1:14">
      <c r="A716" t="s">
        <v>1740</v>
      </c>
      <c r="B716" t="s">
        <v>1279</v>
      </c>
      <c r="C716" t="s">
        <v>832</v>
      </c>
      <c r="D716" t="s">
        <v>69</v>
      </c>
      <c r="E716" t="s">
        <v>18</v>
      </c>
      <c r="F716" t="s">
        <v>41</v>
      </c>
      <c r="G716">
        <v>1</v>
      </c>
      <c r="H716">
        <v>4.69</v>
      </c>
      <c r="I716">
        <v>4.69</v>
      </c>
      <c r="J716">
        <v>2.94</v>
      </c>
      <c r="K716">
        <v>1.75</v>
      </c>
      <c r="L716" t="s">
        <v>20</v>
      </c>
      <c r="M716" t="s">
        <v>54</v>
      </c>
      <c r="N716" t="s">
        <v>887</v>
      </c>
    </row>
    <row r="717" spans="1:14">
      <c r="A717" t="s">
        <v>1741</v>
      </c>
      <c r="B717" t="s">
        <v>966</v>
      </c>
      <c r="C717" t="s">
        <v>1294</v>
      </c>
      <c r="D717" t="s">
        <v>46</v>
      </c>
      <c r="E717" t="s">
        <v>27</v>
      </c>
      <c r="F717" t="s">
        <v>125</v>
      </c>
      <c r="G717">
        <v>3</v>
      </c>
      <c r="H717">
        <v>7.09</v>
      </c>
      <c r="I717">
        <v>21.27</v>
      </c>
      <c r="J717">
        <v>14.29</v>
      </c>
      <c r="K717">
        <v>6.98</v>
      </c>
      <c r="L717" t="s">
        <v>60</v>
      </c>
      <c r="M717" t="s">
        <v>29</v>
      </c>
      <c r="N717" t="s">
        <v>261</v>
      </c>
    </row>
    <row r="718" spans="1:14">
      <c r="A718" t="s">
        <v>1742</v>
      </c>
      <c r="B718" t="s">
        <v>1191</v>
      </c>
      <c r="C718" t="s">
        <v>1743</v>
      </c>
      <c r="D718" t="s">
        <v>46</v>
      </c>
      <c r="E718" t="s">
        <v>74</v>
      </c>
      <c r="F718" t="s">
        <v>92</v>
      </c>
      <c r="G718">
        <v>3</v>
      </c>
      <c r="H718">
        <v>4.94</v>
      </c>
      <c r="I718">
        <v>14.82</v>
      </c>
      <c r="J718">
        <v>7.71</v>
      </c>
      <c r="K718">
        <v>7.11</v>
      </c>
      <c r="L718" t="s">
        <v>20</v>
      </c>
      <c r="M718" t="s">
        <v>21</v>
      </c>
      <c r="N718" t="s">
        <v>238</v>
      </c>
    </row>
    <row r="719" spans="1:14">
      <c r="A719" t="s">
        <v>1744</v>
      </c>
      <c r="B719" t="s">
        <v>555</v>
      </c>
      <c r="C719" t="s">
        <v>457</v>
      </c>
      <c r="D719" t="s">
        <v>46</v>
      </c>
      <c r="E719" t="s">
        <v>74</v>
      </c>
      <c r="F719" t="s">
        <v>92</v>
      </c>
      <c r="G719">
        <v>5</v>
      </c>
      <c r="H719">
        <v>3.24</v>
      </c>
      <c r="I719">
        <v>16.2</v>
      </c>
      <c r="J719">
        <v>10.69</v>
      </c>
      <c r="K719">
        <v>5.51</v>
      </c>
      <c r="L719" t="s">
        <v>20</v>
      </c>
      <c r="M719" t="s">
        <v>21</v>
      </c>
      <c r="N719" t="s">
        <v>22</v>
      </c>
    </row>
    <row r="720" spans="1:14">
      <c r="A720" t="s">
        <v>1745</v>
      </c>
      <c r="B720" t="s">
        <v>342</v>
      </c>
      <c r="C720" t="s">
        <v>635</v>
      </c>
      <c r="D720" t="s">
        <v>46</v>
      </c>
      <c r="E720" t="s">
        <v>34</v>
      </c>
      <c r="F720" t="s">
        <v>130</v>
      </c>
      <c r="G720">
        <v>3</v>
      </c>
      <c r="H720">
        <v>6.98</v>
      </c>
      <c r="I720">
        <v>20.94</v>
      </c>
      <c r="J720">
        <v>10.19</v>
      </c>
      <c r="K720">
        <v>10.75</v>
      </c>
      <c r="L720" t="s">
        <v>53</v>
      </c>
      <c r="M720" t="s">
        <v>21</v>
      </c>
      <c r="N720" t="s">
        <v>1118</v>
      </c>
    </row>
    <row r="721" spans="1:14">
      <c r="A721" t="s">
        <v>1746</v>
      </c>
      <c r="B721" t="s">
        <v>768</v>
      </c>
      <c r="C721" t="s">
        <v>1747</v>
      </c>
      <c r="D721" t="s">
        <v>26</v>
      </c>
      <c r="E721" t="s">
        <v>18</v>
      </c>
      <c r="F721" t="s">
        <v>41</v>
      </c>
      <c r="G721">
        <v>5</v>
      </c>
      <c r="H721">
        <v>7.18</v>
      </c>
      <c r="I721">
        <v>35.9</v>
      </c>
      <c r="J721">
        <v>22.46</v>
      </c>
      <c r="K721">
        <v>13.44</v>
      </c>
      <c r="L721" t="s">
        <v>20</v>
      </c>
      <c r="M721" t="s">
        <v>54</v>
      </c>
      <c r="N721" t="s">
        <v>191</v>
      </c>
    </row>
    <row r="722" spans="1:14">
      <c r="A722" t="s">
        <v>1748</v>
      </c>
      <c r="B722" t="s">
        <v>622</v>
      </c>
      <c r="C722" t="s">
        <v>1749</v>
      </c>
      <c r="D722" t="s">
        <v>69</v>
      </c>
      <c r="E722" t="s">
        <v>74</v>
      </c>
      <c r="F722" t="s">
        <v>75</v>
      </c>
      <c r="G722">
        <v>5</v>
      </c>
      <c r="H722">
        <v>4.1</v>
      </c>
      <c r="I722">
        <v>20.5</v>
      </c>
      <c r="J722">
        <v>12.06</v>
      </c>
      <c r="K722">
        <v>8.44</v>
      </c>
      <c r="L722" t="s">
        <v>20</v>
      </c>
      <c r="M722" t="s">
        <v>29</v>
      </c>
      <c r="N722" t="s">
        <v>287</v>
      </c>
    </row>
    <row r="723" spans="1:14">
      <c r="A723" t="s">
        <v>1750</v>
      </c>
      <c r="B723" t="s">
        <v>552</v>
      </c>
      <c r="C723" t="s">
        <v>1656</v>
      </c>
      <c r="D723" t="s">
        <v>26</v>
      </c>
      <c r="E723" t="s">
        <v>74</v>
      </c>
      <c r="F723" t="s">
        <v>83</v>
      </c>
      <c r="G723">
        <v>5</v>
      </c>
      <c r="H723">
        <v>3.6</v>
      </c>
      <c r="I723">
        <v>18</v>
      </c>
      <c r="J723">
        <v>11.49</v>
      </c>
      <c r="K723">
        <v>6.51</v>
      </c>
      <c r="L723" t="s">
        <v>36</v>
      </c>
      <c r="M723" t="s">
        <v>29</v>
      </c>
      <c r="N723" t="s">
        <v>22</v>
      </c>
    </row>
    <row r="724" spans="1:14">
      <c r="A724" t="s">
        <v>1751</v>
      </c>
      <c r="B724" t="s">
        <v>1699</v>
      </c>
      <c r="C724" t="s">
        <v>1752</v>
      </c>
      <c r="D724" t="s">
        <v>26</v>
      </c>
      <c r="E724" t="s">
        <v>18</v>
      </c>
      <c r="F724" t="s">
        <v>146</v>
      </c>
      <c r="G724">
        <v>3</v>
      </c>
      <c r="H724">
        <v>4.9</v>
      </c>
      <c r="I724">
        <v>14.7</v>
      </c>
      <c r="J724">
        <v>9.72</v>
      </c>
      <c r="K724">
        <v>4.98</v>
      </c>
      <c r="L724" t="s">
        <v>53</v>
      </c>
      <c r="M724" t="s">
        <v>54</v>
      </c>
      <c r="N724" t="s">
        <v>422</v>
      </c>
    </row>
    <row r="725" spans="1:14">
      <c r="A725" t="s">
        <v>1753</v>
      </c>
      <c r="B725" t="s">
        <v>123</v>
      </c>
      <c r="C725" t="s">
        <v>1754</v>
      </c>
      <c r="D725" t="s">
        <v>69</v>
      </c>
      <c r="E725" t="s">
        <v>18</v>
      </c>
      <c r="F725" t="s">
        <v>146</v>
      </c>
      <c r="G725">
        <v>5</v>
      </c>
      <c r="H725">
        <v>3.06</v>
      </c>
      <c r="I725">
        <v>15.3</v>
      </c>
      <c r="J725">
        <v>8.41</v>
      </c>
      <c r="K725">
        <v>6.89</v>
      </c>
      <c r="L725" t="s">
        <v>53</v>
      </c>
      <c r="M725" t="s">
        <v>29</v>
      </c>
      <c r="N725" t="s">
        <v>783</v>
      </c>
    </row>
    <row r="726" spans="1:14">
      <c r="A726" t="s">
        <v>1755</v>
      </c>
      <c r="B726" t="s">
        <v>1279</v>
      </c>
      <c r="C726" t="s">
        <v>237</v>
      </c>
      <c r="D726" t="s">
        <v>17</v>
      </c>
      <c r="E726" t="s">
        <v>74</v>
      </c>
      <c r="F726" t="s">
        <v>83</v>
      </c>
      <c r="G726">
        <v>5</v>
      </c>
      <c r="H726">
        <v>6.65</v>
      </c>
      <c r="I726">
        <v>33.25</v>
      </c>
      <c r="J726">
        <v>18.05</v>
      </c>
      <c r="K726">
        <v>15.2</v>
      </c>
      <c r="L726" t="s">
        <v>36</v>
      </c>
      <c r="M726" t="s">
        <v>54</v>
      </c>
      <c r="N726" t="s">
        <v>550</v>
      </c>
    </row>
    <row r="727" spans="1:14">
      <c r="A727" t="s">
        <v>1756</v>
      </c>
      <c r="B727" t="s">
        <v>144</v>
      </c>
      <c r="C727" t="s">
        <v>264</v>
      </c>
      <c r="D727" t="s">
        <v>17</v>
      </c>
      <c r="E727" t="s">
        <v>34</v>
      </c>
      <c r="F727" t="s">
        <v>130</v>
      </c>
      <c r="G727">
        <v>5</v>
      </c>
      <c r="H727">
        <v>7.47</v>
      </c>
      <c r="I727">
        <v>37.35</v>
      </c>
      <c r="J727">
        <v>17.3</v>
      </c>
      <c r="K727">
        <v>20.05</v>
      </c>
      <c r="L727" t="s">
        <v>36</v>
      </c>
      <c r="M727" t="s">
        <v>29</v>
      </c>
      <c r="N727" t="s">
        <v>862</v>
      </c>
    </row>
    <row r="728" spans="1:14">
      <c r="A728" t="s">
        <v>1757</v>
      </c>
      <c r="B728" t="s">
        <v>1437</v>
      </c>
      <c r="C728" t="s">
        <v>1611</v>
      </c>
      <c r="D728" t="s">
        <v>52</v>
      </c>
      <c r="E728" t="s">
        <v>18</v>
      </c>
      <c r="F728" t="s">
        <v>19</v>
      </c>
      <c r="G728">
        <v>4</v>
      </c>
      <c r="H728">
        <v>6.4</v>
      </c>
      <c r="I728">
        <v>25.6</v>
      </c>
      <c r="J728">
        <v>12.78</v>
      </c>
      <c r="K728">
        <v>12.82</v>
      </c>
      <c r="L728" t="s">
        <v>60</v>
      </c>
      <c r="M728" t="s">
        <v>54</v>
      </c>
      <c r="N728" t="s">
        <v>155</v>
      </c>
    </row>
    <row r="729" spans="1:14">
      <c r="A729" t="s">
        <v>1758</v>
      </c>
      <c r="B729" t="s">
        <v>710</v>
      </c>
      <c r="C729" t="s">
        <v>809</v>
      </c>
      <c r="D729" t="s">
        <v>69</v>
      </c>
      <c r="E729" t="s">
        <v>74</v>
      </c>
      <c r="F729" t="s">
        <v>83</v>
      </c>
      <c r="G729">
        <v>5</v>
      </c>
      <c r="H729">
        <v>4.47</v>
      </c>
      <c r="I729">
        <v>22.35</v>
      </c>
      <c r="J729">
        <v>10.31</v>
      </c>
      <c r="K729">
        <v>12.04</v>
      </c>
      <c r="L729" t="s">
        <v>53</v>
      </c>
      <c r="M729" t="s">
        <v>29</v>
      </c>
      <c r="N729" t="s">
        <v>55</v>
      </c>
    </row>
    <row r="730" spans="1:14">
      <c r="A730" t="s">
        <v>1759</v>
      </c>
      <c r="B730" t="s">
        <v>357</v>
      </c>
      <c r="C730" t="s">
        <v>536</v>
      </c>
      <c r="D730" t="s">
        <v>17</v>
      </c>
      <c r="E730" t="s">
        <v>27</v>
      </c>
      <c r="F730" t="s">
        <v>125</v>
      </c>
      <c r="G730">
        <v>3</v>
      </c>
      <c r="H730">
        <v>4.6</v>
      </c>
      <c r="I730">
        <v>13.8</v>
      </c>
      <c r="J730">
        <v>6.98</v>
      </c>
      <c r="K730">
        <v>6.82</v>
      </c>
      <c r="L730" t="s">
        <v>36</v>
      </c>
      <c r="M730" t="s">
        <v>54</v>
      </c>
      <c r="N730" t="s">
        <v>285</v>
      </c>
    </row>
    <row r="731" spans="1:14">
      <c r="A731" t="s">
        <v>1760</v>
      </c>
      <c r="B731" t="s">
        <v>1547</v>
      </c>
      <c r="C731" t="s">
        <v>1761</v>
      </c>
      <c r="D731" t="s">
        <v>46</v>
      </c>
      <c r="E731" t="s">
        <v>18</v>
      </c>
      <c r="F731" t="s">
        <v>41</v>
      </c>
      <c r="G731">
        <v>4</v>
      </c>
      <c r="H731">
        <v>6.65</v>
      </c>
      <c r="I731">
        <v>26.6</v>
      </c>
      <c r="J731">
        <v>12.33</v>
      </c>
      <c r="K731">
        <v>14.27</v>
      </c>
      <c r="L731" t="s">
        <v>53</v>
      </c>
      <c r="M731" t="s">
        <v>54</v>
      </c>
      <c r="N731" t="s">
        <v>373</v>
      </c>
    </row>
    <row r="732" spans="1:14">
      <c r="A732" t="s">
        <v>1762</v>
      </c>
      <c r="B732" t="s">
        <v>855</v>
      </c>
      <c r="C732" t="s">
        <v>1763</v>
      </c>
      <c r="D732" t="s">
        <v>46</v>
      </c>
      <c r="E732" t="s">
        <v>27</v>
      </c>
      <c r="F732" t="s">
        <v>169</v>
      </c>
      <c r="G732">
        <v>5</v>
      </c>
      <c r="H732">
        <v>3.69</v>
      </c>
      <c r="I732">
        <v>18.45</v>
      </c>
      <c r="J732">
        <v>11.32</v>
      </c>
      <c r="K732">
        <v>7.13</v>
      </c>
      <c r="L732" t="s">
        <v>53</v>
      </c>
      <c r="M732" t="s">
        <v>54</v>
      </c>
      <c r="N732" t="s">
        <v>794</v>
      </c>
    </row>
    <row r="733" spans="1:14">
      <c r="A733" t="s">
        <v>1764</v>
      </c>
      <c r="B733" t="s">
        <v>1765</v>
      </c>
      <c r="C733" t="s">
        <v>1021</v>
      </c>
      <c r="D733" t="s">
        <v>69</v>
      </c>
      <c r="E733" t="s">
        <v>74</v>
      </c>
      <c r="F733" t="s">
        <v>83</v>
      </c>
      <c r="G733">
        <v>2</v>
      </c>
      <c r="H733">
        <v>5.49</v>
      </c>
      <c r="I733">
        <v>10.98</v>
      </c>
      <c r="J733">
        <v>5.68</v>
      </c>
      <c r="K733">
        <v>5.3</v>
      </c>
      <c r="L733" t="s">
        <v>36</v>
      </c>
      <c r="M733" t="s">
        <v>29</v>
      </c>
      <c r="N733" t="s">
        <v>131</v>
      </c>
    </row>
    <row r="734" spans="1:14">
      <c r="A734" t="s">
        <v>1766</v>
      </c>
      <c r="B734" t="s">
        <v>755</v>
      </c>
      <c r="C734" t="s">
        <v>274</v>
      </c>
      <c r="D734" t="s">
        <v>69</v>
      </c>
      <c r="E734" t="s">
        <v>74</v>
      </c>
      <c r="F734" t="s">
        <v>83</v>
      </c>
      <c r="G734">
        <v>4</v>
      </c>
      <c r="H734">
        <v>2.99</v>
      </c>
      <c r="I734">
        <v>11.96</v>
      </c>
      <c r="J734">
        <v>7.73</v>
      </c>
      <c r="K734">
        <v>4.23</v>
      </c>
      <c r="L734" t="s">
        <v>36</v>
      </c>
      <c r="M734" t="s">
        <v>29</v>
      </c>
      <c r="N734" t="s">
        <v>431</v>
      </c>
    </row>
    <row r="735" spans="1:14">
      <c r="A735" t="s">
        <v>1767</v>
      </c>
      <c r="B735" t="s">
        <v>1768</v>
      </c>
      <c r="C735" t="s">
        <v>1769</v>
      </c>
      <c r="D735" t="s">
        <v>69</v>
      </c>
      <c r="E735" t="s">
        <v>18</v>
      </c>
      <c r="F735" t="s">
        <v>146</v>
      </c>
      <c r="G735">
        <v>2</v>
      </c>
      <c r="H735">
        <v>5.85</v>
      </c>
      <c r="I735">
        <v>11.7</v>
      </c>
      <c r="J735">
        <v>6.8</v>
      </c>
      <c r="K735">
        <v>4.9</v>
      </c>
      <c r="L735" t="s">
        <v>20</v>
      </c>
      <c r="M735" t="s">
        <v>54</v>
      </c>
      <c r="N735" t="s">
        <v>97</v>
      </c>
    </row>
    <row r="736" spans="1:14">
      <c r="A736" t="s">
        <v>1770</v>
      </c>
      <c r="B736" t="s">
        <v>95</v>
      </c>
      <c r="C736" t="s">
        <v>1771</v>
      </c>
      <c r="D736" t="s">
        <v>26</v>
      </c>
      <c r="E736" t="s">
        <v>27</v>
      </c>
      <c r="F736" t="s">
        <v>70</v>
      </c>
      <c r="G736">
        <v>4</v>
      </c>
      <c r="H736">
        <v>3.2</v>
      </c>
      <c r="I736">
        <v>12.8</v>
      </c>
      <c r="J736">
        <v>6.34</v>
      </c>
      <c r="K736">
        <v>6.46</v>
      </c>
      <c r="L736" t="s">
        <v>20</v>
      </c>
      <c r="M736" t="s">
        <v>54</v>
      </c>
      <c r="N736" t="s">
        <v>422</v>
      </c>
    </row>
    <row r="737" spans="1:14">
      <c r="A737" t="s">
        <v>1772</v>
      </c>
      <c r="B737" t="s">
        <v>1619</v>
      </c>
      <c r="C737" t="s">
        <v>637</v>
      </c>
      <c r="D737" t="s">
        <v>26</v>
      </c>
      <c r="E737" t="s">
        <v>27</v>
      </c>
      <c r="F737" t="s">
        <v>70</v>
      </c>
      <c r="G737">
        <v>5</v>
      </c>
      <c r="H737">
        <v>7.44</v>
      </c>
      <c r="I737">
        <v>37.2</v>
      </c>
      <c r="J737">
        <v>24.37</v>
      </c>
      <c r="K737">
        <v>12.83</v>
      </c>
      <c r="L737" t="s">
        <v>60</v>
      </c>
      <c r="M737" t="s">
        <v>54</v>
      </c>
      <c r="N737" t="s">
        <v>207</v>
      </c>
    </row>
    <row r="738" spans="1:14">
      <c r="A738" t="s">
        <v>1773</v>
      </c>
      <c r="B738" t="s">
        <v>1191</v>
      </c>
      <c r="C738" t="s">
        <v>1774</v>
      </c>
      <c r="D738" t="s">
        <v>26</v>
      </c>
      <c r="E738" t="s">
        <v>34</v>
      </c>
      <c r="F738" t="s">
        <v>47</v>
      </c>
      <c r="G738">
        <v>5</v>
      </c>
      <c r="H738">
        <v>2.87</v>
      </c>
      <c r="I738">
        <v>14.35</v>
      </c>
      <c r="J738">
        <v>6.93</v>
      </c>
      <c r="K738">
        <v>7.42</v>
      </c>
      <c r="L738" t="s">
        <v>36</v>
      </c>
      <c r="M738" t="s">
        <v>54</v>
      </c>
      <c r="N738" t="s">
        <v>744</v>
      </c>
    </row>
    <row r="739" spans="1:14">
      <c r="A739" t="s">
        <v>1775</v>
      </c>
      <c r="B739" t="s">
        <v>625</v>
      </c>
      <c r="C739" t="s">
        <v>1776</v>
      </c>
      <c r="D739" t="s">
        <v>69</v>
      </c>
      <c r="E739" t="s">
        <v>74</v>
      </c>
      <c r="F739" t="s">
        <v>75</v>
      </c>
      <c r="G739">
        <v>5</v>
      </c>
      <c r="H739">
        <v>6.73</v>
      </c>
      <c r="I739">
        <v>33.65</v>
      </c>
      <c r="J739">
        <v>20.93</v>
      </c>
      <c r="K739">
        <v>12.72</v>
      </c>
      <c r="L739" t="s">
        <v>53</v>
      </c>
      <c r="M739" t="s">
        <v>29</v>
      </c>
      <c r="N739" t="s">
        <v>93</v>
      </c>
    </row>
    <row r="740" spans="1:14">
      <c r="A740" t="s">
        <v>1777</v>
      </c>
      <c r="B740" t="s">
        <v>1529</v>
      </c>
      <c r="C740" t="s">
        <v>1650</v>
      </c>
      <c r="D740" t="s">
        <v>17</v>
      </c>
      <c r="E740" t="s">
        <v>34</v>
      </c>
      <c r="F740" t="s">
        <v>130</v>
      </c>
      <c r="G740">
        <v>4</v>
      </c>
      <c r="H740">
        <v>7.09</v>
      </c>
      <c r="I740">
        <v>28.36</v>
      </c>
      <c r="J740">
        <v>14.67</v>
      </c>
      <c r="K740">
        <v>13.69</v>
      </c>
      <c r="L740" t="s">
        <v>36</v>
      </c>
      <c r="M740" t="s">
        <v>54</v>
      </c>
      <c r="N740" t="s">
        <v>483</v>
      </c>
    </row>
    <row r="741" spans="1:14">
      <c r="A741" t="s">
        <v>1778</v>
      </c>
      <c r="B741" t="s">
        <v>505</v>
      </c>
      <c r="C741" t="s">
        <v>1779</v>
      </c>
      <c r="D741" t="s">
        <v>52</v>
      </c>
      <c r="E741" t="s">
        <v>34</v>
      </c>
      <c r="F741" t="s">
        <v>59</v>
      </c>
      <c r="G741">
        <v>2</v>
      </c>
      <c r="H741">
        <v>6.78</v>
      </c>
      <c r="I741">
        <v>13.56</v>
      </c>
      <c r="J741">
        <v>7.97</v>
      </c>
      <c r="K741">
        <v>5.59</v>
      </c>
      <c r="L741" t="s">
        <v>60</v>
      </c>
      <c r="M741" t="s">
        <v>29</v>
      </c>
      <c r="N741" t="s">
        <v>55</v>
      </c>
    </row>
    <row r="742" spans="1:14">
      <c r="A742" t="s">
        <v>1780</v>
      </c>
      <c r="B742" t="s">
        <v>386</v>
      </c>
      <c r="C742" t="s">
        <v>226</v>
      </c>
      <c r="D742" t="s">
        <v>69</v>
      </c>
      <c r="E742" t="s">
        <v>74</v>
      </c>
      <c r="F742" t="s">
        <v>75</v>
      </c>
      <c r="G742">
        <v>4</v>
      </c>
      <c r="H742">
        <v>5.69</v>
      </c>
      <c r="I742">
        <v>22.76</v>
      </c>
      <c r="J742">
        <v>14.44</v>
      </c>
      <c r="K742">
        <v>8.32</v>
      </c>
      <c r="L742" t="s">
        <v>36</v>
      </c>
      <c r="M742" t="s">
        <v>21</v>
      </c>
      <c r="N742" t="s">
        <v>783</v>
      </c>
    </row>
    <row r="743" spans="1:14">
      <c r="A743" t="s">
        <v>1781</v>
      </c>
      <c r="B743" t="s">
        <v>824</v>
      </c>
      <c r="C743" t="s">
        <v>1782</v>
      </c>
      <c r="D743" t="s">
        <v>26</v>
      </c>
      <c r="E743" t="s">
        <v>18</v>
      </c>
      <c r="F743" t="s">
        <v>41</v>
      </c>
      <c r="G743">
        <v>3</v>
      </c>
      <c r="H743">
        <v>4.45</v>
      </c>
      <c r="I743">
        <v>13.35</v>
      </c>
      <c r="J743">
        <v>8.17</v>
      </c>
      <c r="K743">
        <v>5.18</v>
      </c>
      <c r="L743" t="s">
        <v>20</v>
      </c>
      <c r="M743" t="s">
        <v>54</v>
      </c>
      <c r="N743" t="s">
        <v>285</v>
      </c>
    </row>
    <row r="744" spans="1:14">
      <c r="A744" t="s">
        <v>1783</v>
      </c>
      <c r="B744" t="s">
        <v>357</v>
      </c>
      <c r="C744" t="s">
        <v>1784</v>
      </c>
      <c r="D744" t="s">
        <v>26</v>
      </c>
      <c r="E744" t="s">
        <v>18</v>
      </c>
      <c r="F744" t="s">
        <v>41</v>
      </c>
      <c r="G744">
        <v>5</v>
      </c>
      <c r="H744">
        <v>5.53</v>
      </c>
      <c r="I744">
        <v>27.65</v>
      </c>
      <c r="J744">
        <v>17.62</v>
      </c>
      <c r="K744">
        <v>10.03</v>
      </c>
      <c r="L744" t="s">
        <v>53</v>
      </c>
      <c r="M744" t="s">
        <v>21</v>
      </c>
      <c r="N744" t="s">
        <v>497</v>
      </c>
    </row>
    <row r="745" spans="1:14">
      <c r="A745" t="s">
        <v>1785</v>
      </c>
      <c r="B745" t="s">
        <v>116</v>
      </c>
      <c r="C745" t="s">
        <v>1786</v>
      </c>
      <c r="D745" t="s">
        <v>17</v>
      </c>
      <c r="E745" t="s">
        <v>74</v>
      </c>
      <c r="F745" t="s">
        <v>75</v>
      </c>
      <c r="G745">
        <v>4</v>
      </c>
      <c r="H745">
        <v>3.05</v>
      </c>
      <c r="I745">
        <v>12.2</v>
      </c>
      <c r="J745">
        <v>6.98</v>
      </c>
      <c r="K745">
        <v>5.22</v>
      </c>
      <c r="L745" t="s">
        <v>20</v>
      </c>
      <c r="M745" t="s">
        <v>21</v>
      </c>
      <c r="N745" t="s">
        <v>1118</v>
      </c>
    </row>
    <row r="746" spans="1:14">
      <c r="A746" t="s">
        <v>1787</v>
      </c>
      <c r="B746" t="s">
        <v>1699</v>
      </c>
      <c r="C746" t="s">
        <v>108</v>
      </c>
      <c r="D746" t="s">
        <v>46</v>
      </c>
      <c r="E746" t="s">
        <v>34</v>
      </c>
      <c r="F746" t="s">
        <v>59</v>
      </c>
      <c r="G746">
        <v>5</v>
      </c>
      <c r="H746">
        <v>3.95</v>
      </c>
      <c r="I746">
        <v>19.75</v>
      </c>
      <c r="J746">
        <v>12.03</v>
      </c>
      <c r="K746">
        <v>7.72</v>
      </c>
      <c r="L746" t="s">
        <v>60</v>
      </c>
      <c r="M746" t="s">
        <v>54</v>
      </c>
      <c r="N746" t="s">
        <v>303</v>
      </c>
    </row>
    <row r="747" spans="1:14">
      <c r="A747" t="s">
        <v>1788</v>
      </c>
      <c r="B747" t="s">
        <v>940</v>
      </c>
      <c r="C747" t="s">
        <v>1789</v>
      </c>
      <c r="D747" t="s">
        <v>52</v>
      </c>
      <c r="E747" t="s">
        <v>34</v>
      </c>
      <c r="F747" t="s">
        <v>59</v>
      </c>
      <c r="G747">
        <v>5</v>
      </c>
      <c r="H747">
        <v>3.41</v>
      </c>
      <c r="I747">
        <v>17.05</v>
      </c>
      <c r="J747">
        <v>9.99</v>
      </c>
      <c r="K747">
        <v>7.06</v>
      </c>
      <c r="L747" t="s">
        <v>36</v>
      </c>
      <c r="M747" t="s">
        <v>54</v>
      </c>
      <c r="N747" t="s">
        <v>483</v>
      </c>
    </row>
    <row r="748" spans="1:14">
      <c r="A748" t="s">
        <v>1790</v>
      </c>
      <c r="B748" t="s">
        <v>1791</v>
      </c>
      <c r="C748" t="s">
        <v>1792</v>
      </c>
      <c r="D748" t="s">
        <v>46</v>
      </c>
      <c r="E748" t="s">
        <v>27</v>
      </c>
      <c r="F748" t="s">
        <v>70</v>
      </c>
      <c r="G748">
        <v>2</v>
      </c>
      <c r="H748">
        <v>6.25</v>
      </c>
      <c r="I748">
        <v>12.5</v>
      </c>
      <c r="J748">
        <v>7.32</v>
      </c>
      <c r="K748">
        <v>5.18</v>
      </c>
      <c r="L748" t="s">
        <v>53</v>
      </c>
      <c r="M748" t="s">
        <v>54</v>
      </c>
      <c r="N748" t="s">
        <v>560</v>
      </c>
    </row>
    <row r="749" spans="1:14">
      <c r="A749" t="s">
        <v>1793</v>
      </c>
      <c r="B749" t="s">
        <v>1066</v>
      </c>
      <c r="C749" t="s">
        <v>1794</v>
      </c>
      <c r="D749" t="s">
        <v>46</v>
      </c>
      <c r="E749" t="s">
        <v>27</v>
      </c>
      <c r="F749" t="s">
        <v>169</v>
      </c>
      <c r="G749">
        <v>1</v>
      </c>
      <c r="H749">
        <v>4.93</v>
      </c>
      <c r="I749">
        <v>4.93</v>
      </c>
      <c r="J749">
        <v>3.08</v>
      </c>
      <c r="K749">
        <v>1.85</v>
      </c>
      <c r="L749" t="s">
        <v>36</v>
      </c>
      <c r="M749" t="s">
        <v>54</v>
      </c>
      <c r="N749" t="s">
        <v>384</v>
      </c>
    </row>
    <row r="750" spans="1:14">
      <c r="A750" t="s">
        <v>1795</v>
      </c>
      <c r="B750" t="s">
        <v>1446</v>
      </c>
      <c r="C750" t="s">
        <v>765</v>
      </c>
      <c r="D750" t="s">
        <v>26</v>
      </c>
      <c r="E750" t="s">
        <v>27</v>
      </c>
      <c r="F750" t="s">
        <v>125</v>
      </c>
      <c r="G750">
        <v>4</v>
      </c>
      <c r="H750">
        <v>4.74</v>
      </c>
      <c r="I750">
        <v>18.96</v>
      </c>
      <c r="J750">
        <v>9.67</v>
      </c>
      <c r="K750">
        <v>9.29</v>
      </c>
      <c r="L750" t="s">
        <v>36</v>
      </c>
      <c r="M750" t="s">
        <v>54</v>
      </c>
      <c r="N750" t="s">
        <v>862</v>
      </c>
    </row>
    <row r="751" spans="1:14">
      <c r="A751" t="s">
        <v>1796</v>
      </c>
      <c r="B751" t="s">
        <v>1113</v>
      </c>
      <c r="C751" t="s">
        <v>1707</v>
      </c>
      <c r="D751" t="s">
        <v>26</v>
      </c>
      <c r="E751" t="s">
        <v>34</v>
      </c>
      <c r="F751" t="s">
        <v>59</v>
      </c>
      <c r="G751">
        <v>5</v>
      </c>
      <c r="H751">
        <v>4.27</v>
      </c>
      <c r="I751">
        <v>21.35</v>
      </c>
      <c r="J751">
        <v>14.87</v>
      </c>
      <c r="K751">
        <v>6.48</v>
      </c>
      <c r="L751" t="s">
        <v>60</v>
      </c>
      <c r="M751" t="s">
        <v>21</v>
      </c>
      <c r="N751" t="s">
        <v>862</v>
      </c>
    </row>
    <row r="752" spans="1:14">
      <c r="A752" t="s">
        <v>1797</v>
      </c>
      <c r="B752" t="s">
        <v>1630</v>
      </c>
      <c r="C752" t="s">
        <v>1798</v>
      </c>
      <c r="D752" t="s">
        <v>26</v>
      </c>
      <c r="E752" t="s">
        <v>34</v>
      </c>
      <c r="F752" t="s">
        <v>35</v>
      </c>
      <c r="G752">
        <v>5</v>
      </c>
      <c r="H752">
        <v>6.79</v>
      </c>
      <c r="I752">
        <v>33.95</v>
      </c>
      <c r="J752">
        <v>22.01</v>
      </c>
      <c r="K752">
        <v>11.94</v>
      </c>
      <c r="L752" t="s">
        <v>20</v>
      </c>
      <c r="M752" t="s">
        <v>21</v>
      </c>
      <c r="N752" t="s">
        <v>915</v>
      </c>
    </row>
    <row r="753" spans="1:14">
      <c r="A753" t="s">
        <v>1799</v>
      </c>
      <c r="B753" t="s">
        <v>617</v>
      </c>
      <c r="C753" t="s">
        <v>1600</v>
      </c>
      <c r="D753" t="s">
        <v>26</v>
      </c>
      <c r="E753" t="s">
        <v>27</v>
      </c>
      <c r="F753" t="s">
        <v>125</v>
      </c>
      <c r="G753">
        <v>4</v>
      </c>
      <c r="H753">
        <v>5.82</v>
      </c>
      <c r="I753">
        <v>23.28</v>
      </c>
      <c r="J753">
        <v>14.86</v>
      </c>
      <c r="K753">
        <v>8.42</v>
      </c>
      <c r="L753" t="s">
        <v>36</v>
      </c>
      <c r="M753" t="s">
        <v>21</v>
      </c>
      <c r="N753" t="s">
        <v>212</v>
      </c>
    </row>
    <row r="754" spans="1:14">
      <c r="A754" t="s">
        <v>1800</v>
      </c>
      <c r="B754" t="s">
        <v>1801</v>
      </c>
      <c r="C754" t="s">
        <v>1802</v>
      </c>
      <c r="D754" t="s">
        <v>26</v>
      </c>
      <c r="E754" t="s">
        <v>27</v>
      </c>
      <c r="F754" t="s">
        <v>70</v>
      </c>
      <c r="G754">
        <v>4</v>
      </c>
      <c r="H754">
        <v>5.41</v>
      </c>
      <c r="I754">
        <v>21.64</v>
      </c>
      <c r="J754">
        <v>12.67</v>
      </c>
      <c r="K754">
        <v>8.97</v>
      </c>
      <c r="L754" t="s">
        <v>20</v>
      </c>
      <c r="M754" t="s">
        <v>54</v>
      </c>
      <c r="N754" t="s">
        <v>822</v>
      </c>
    </row>
    <row r="755" spans="1:14">
      <c r="A755" t="s">
        <v>1803</v>
      </c>
      <c r="B755" t="s">
        <v>1727</v>
      </c>
      <c r="C755" t="s">
        <v>726</v>
      </c>
      <c r="D755" t="s">
        <v>46</v>
      </c>
      <c r="E755" t="s">
        <v>74</v>
      </c>
      <c r="F755" t="s">
        <v>75</v>
      </c>
      <c r="G755">
        <v>5</v>
      </c>
      <c r="H755">
        <v>6.31</v>
      </c>
      <c r="I755">
        <v>31.55</v>
      </c>
      <c r="J755">
        <v>16.93</v>
      </c>
      <c r="K755">
        <v>14.62</v>
      </c>
      <c r="L755" t="s">
        <v>20</v>
      </c>
      <c r="M755" t="s">
        <v>21</v>
      </c>
      <c r="N755" t="s">
        <v>278</v>
      </c>
    </row>
    <row r="756" spans="1:14">
      <c r="A756" t="s">
        <v>1804</v>
      </c>
      <c r="B756" t="s">
        <v>1091</v>
      </c>
      <c r="C756" t="s">
        <v>1635</v>
      </c>
      <c r="D756" t="s">
        <v>46</v>
      </c>
      <c r="E756" t="s">
        <v>27</v>
      </c>
      <c r="F756" t="s">
        <v>70</v>
      </c>
      <c r="G756">
        <v>3</v>
      </c>
      <c r="H756">
        <v>7.5</v>
      </c>
      <c r="I756">
        <v>22.5</v>
      </c>
      <c r="J756">
        <v>11.22</v>
      </c>
      <c r="K756">
        <v>11.28</v>
      </c>
      <c r="L756" t="s">
        <v>60</v>
      </c>
      <c r="M756" t="s">
        <v>29</v>
      </c>
      <c r="N756" t="s">
        <v>470</v>
      </c>
    </row>
    <row r="757" spans="1:14">
      <c r="A757" t="s">
        <v>1805</v>
      </c>
      <c r="B757" t="s">
        <v>185</v>
      </c>
      <c r="C757" t="s">
        <v>211</v>
      </c>
      <c r="D757" t="s">
        <v>26</v>
      </c>
      <c r="E757" t="s">
        <v>18</v>
      </c>
      <c r="F757" t="s">
        <v>19</v>
      </c>
      <c r="G757">
        <v>5</v>
      </c>
      <c r="H757">
        <v>3.34</v>
      </c>
      <c r="I757">
        <v>16.7</v>
      </c>
      <c r="J757">
        <v>10.95</v>
      </c>
      <c r="K757">
        <v>5.75</v>
      </c>
      <c r="L757" t="s">
        <v>60</v>
      </c>
      <c r="M757" t="s">
        <v>29</v>
      </c>
      <c r="N757" t="s">
        <v>212</v>
      </c>
    </row>
    <row r="758" spans="1:14">
      <c r="A758" t="s">
        <v>1806</v>
      </c>
      <c r="B758" t="s">
        <v>1547</v>
      </c>
      <c r="C758" t="s">
        <v>264</v>
      </c>
      <c r="D758" t="s">
        <v>52</v>
      </c>
      <c r="E758" t="s">
        <v>34</v>
      </c>
      <c r="F758" t="s">
        <v>135</v>
      </c>
      <c r="G758">
        <v>3</v>
      </c>
      <c r="H758">
        <v>3.03</v>
      </c>
      <c r="I758">
        <v>9.09</v>
      </c>
      <c r="J758">
        <v>6.13</v>
      </c>
      <c r="K758">
        <v>2.96</v>
      </c>
      <c r="L758" t="s">
        <v>20</v>
      </c>
      <c r="M758" t="s">
        <v>21</v>
      </c>
      <c r="N758" t="s">
        <v>42</v>
      </c>
    </row>
    <row r="759" spans="1:14">
      <c r="A759" t="s">
        <v>1807</v>
      </c>
      <c r="B759" t="s">
        <v>149</v>
      </c>
      <c r="C759" t="s">
        <v>1808</v>
      </c>
      <c r="D759" t="s">
        <v>17</v>
      </c>
      <c r="E759" t="s">
        <v>27</v>
      </c>
      <c r="F759" t="s">
        <v>125</v>
      </c>
      <c r="G759">
        <v>3</v>
      </c>
      <c r="H759">
        <v>7.24</v>
      </c>
      <c r="I759">
        <v>21.72</v>
      </c>
      <c r="J759">
        <v>10.32</v>
      </c>
      <c r="K759">
        <v>11.4</v>
      </c>
      <c r="L759" t="s">
        <v>36</v>
      </c>
      <c r="M759" t="s">
        <v>21</v>
      </c>
      <c r="N759" t="s">
        <v>497</v>
      </c>
    </row>
    <row r="760" spans="1:14">
      <c r="A760" t="s">
        <v>1809</v>
      </c>
      <c r="B760" t="s">
        <v>1324</v>
      </c>
      <c r="C760" t="s">
        <v>671</v>
      </c>
      <c r="D760" t="s">
        <v>69</v>
      </c>
      <c r="E760" t="s">
        <v>74</v>
      </c>
      <c r="F760" t="s">
        <v>92</v>
      </c>
      <c r="G760">
        <v>3</v>
      </c>
      <c r="H760">
        <v>7.33</v>
      </c>
      <c r="I760">
        <v>21.99</v>
      </c>
      <c r="J760">
        <v>11.65</v>
      </c>
      <c r="K760">
        <v>10.34</v>
      </c>
      <c r="L760" t="s">
        <v>53</v>
      </c>
      <c r="M760" t="s">
        <v>54</v>
      </c>
      <c r="N760" t="s">
        <v>242</v>
      </c>
    </row>
    <row r="761" spans="1:14">
      <c r="A761" t="s">
        <v>1810</v>
      </c>
      <c r="B761" t="s">
        <v>172</v>
      </c>
      <c r="C761" t="s">
        <v>1811</v>
      </c>
      <c r="D761" t="s">
        <v>17</v>
      </c>
      <c r="E761" t="s">
        <v>74</v>
      </c>
      <c r="F761" t="s">
        <v>92</v>
      </c>
      <c r="G761">
        <v>1</v>
      </c>
      <c r="H761">
        <v>5.56</v>
      </c>
      <c r="I761">
        <v>5.56</v>
      </c>
      <c r="J761">
        <v>2.57</v>
      </c>
      <c r="K761">
        <v>2.99</v>
      </c>
      <c r="L761" t="s">
        <v>53</v>
      </c>
      <c r="M761" t="s">
        <v>29</v>
      </c>
      <c r="N761" t="s">
        <v>271</v>
      </c>
    </row>
    <row r="762" spans="1:14">
      <c r="A762" t="s">
        <v>1812</v>
      </c>
      <c r="B762" t="s">
        <v>981</v>
      </c>
      <c r="C762" t="s">
        <v>318</v>
      </c>
      <c r="D762" t="s">
        <v>69</v>
      </c>
      <c r="E762" t="s">
        <v>27</v>
      </c>
      <c r="F762" t="s">
        <v>70</v>
      </c>
      <c r="G762">
        <v>2</v>
      </c>
      <c r="H762">
        <v>6.71</v>
      </c>
      <c r="I762">
        <v>13.42</v>
      </c>
      <c r="J762">
        <v>6.49</v>
      </c>
      <c r="K762">
        <v>6.93</v>
      </c>
      <c r="L762" t="s">
        <v>20</v>
      </c>
      <c r="M762" t="s">
        <v>21</v>
      </c>
      <c r="N762" t="s">
        <v>560</v>
      </c>
    </row>
    <row r="763" spans="1:14">
      <c r="A763" t="s">
        <v>1813</v>
      </c>
      <c r="B763" t="s">
        <v>247</v>
      </c>
      <c r="C763" t="s">
        <v>1814</v>
      </c>
      <c r="D763" t="s">
        <v>26</v>
      </c>
      <c r="E763" t="s">
        <v>27</v>
      </c>
      <c r="F763" t="s">
        <v>28</v>
      </c>
      <c r="G763">
        <v>5</v>
      </c>
      <c r="H763">
        <v>4.46</v>
      </c>
      <c r="I763">
        <v>22.3</v>
      </c>
      <c r="J763">
        <v>12.49</v>
      </c>
      <c r="K763">
        <v>9.81</v>
      </c>
      <c r="L763" t="s">
        <v>20</v>
      </c>
      <c r="M763" t="s">
        <v>29</v>
      </c>
      <c r="N763" t="s">
        <v>187</v>
      </c>
    </row>
    <row r="764" spans="1:14">
      <c r="A764" t="s">
        <v>1815</v>
      </c>
      <c r="B764" t="s">
        <v>935</v>
      </c>
      <c r="C764" t="s">
        <v>1816</v>
      </c>
      <c r="D764" t="s">
        <v>17</v>
      </c>
      <c r="E764" t="s">
        <v>34</v>
      </c>
      <c r="F764" t="s">
        <v>135</v>
      </c>
      <c r="G764">
        <v>3</v>
      </c>
      <c r="H764">
        <v>3.92</v>
      </c>
      <c r="I764">
        <v>11.76</v>
      </c>
      <c r="J764">
        <v>6.41</v>
      </c>
      <c r="K764">
        <v>5.35</v>
      </c>
      <c r="L764" t="s">
        <v>60</v>
      </c>
      <c r="M764" t="s">
        <v>54</v>
      </c>
      <c r="N764" t="s">
        <v>491</v>
      </c>
    </row>
    <row r="765" spans="1:14">
      <c r="A765" t="s">
        <v>1817</v>
      </c>
      <c r="B765" t="s">
        <v>1818</v>
      </c>
      <c r="C765" t="s">
        <v>1056</v>
      </c>
      <c r="D765" t="s">
        <v>26</v>
      </c>
      <c r="E765" t="s">
        <v>27</v>
      </c>
      <c r="F765" t="s">
        <v>70</v>
      </c>
      <c r="G765">
        <v>3</v>
      </c>
      <c r="H765">
        <v>7.85</v>
      </c>
      <c r="I765">
        <v>23.55</v>
      </c>
      <c r="J765">
        <v>14.39</v>
      </c>
      <c r="K765">
        <v>9.16</v>
      </c>
      <c r="L765" t="s">
        <v>20</v>
      </c>
      <c r="M765" t="s">
        <v>21</v>
      </c>
      <c r="N765" t="s">
        <v>887</v>
      </c>
    </row>
    <row r="766" spans="1:14">
      <c r="A766" t="s">
        <v>1819</v>
      </c>
      <c r="B766" t="s">
        <v>762</v>
      </c>
      <c r="C766" t="s">
        <v>1820</v>
      </c>
      <c r="D766" t="s">
        <v>52</v>
      </c>
      <c r="E766" t="s">
        <v>74</v>
      </c>
      <c r="F766" t="s">
        <v>75</v>
      </c>
      <c r="G766">
        <v>3</v>
      </c>
      <c r="H766">
        <v>6.56</v>
      </c>
      <c r="I766">
        <v>19.68</v>
      </c>
      <c r="J766">
        <v>10.53</v>
      </c>
      <c r="K766">
        <v>9.15</v>
      </c>
      <c r="L766" t="s">
        <v>53</v>
      </c>
      <c r="M766" t="s">
        <v>54</v>
      </c>
      <c r="N766" t="s">
        <v>368</v>
      </c>
    </row>
    <row r="767" spans="1:14">
      <c r="A767" t="s">
        <v>1821</v>
      </c>
      <c r="B767" t="s">
        <v>357</v>
      </c>
      <c r="C767" t="s">
        <v>1811</v>
      </c>
      <c r="D767" t="s">
        <v>26</v>
      </c>
      <c r="E767" t="s">
        <v>74</v>
      </c>
      <c r="F767" t="s">
        <v>75</v>
      </c>
      <c r="G767">
        <v>2</v>
      </c>
      <c r="H767">
        <v>2.61</v>
      </c>
      <c r="I767">
        <v>5.22</v>
      </c>
      <c r="J767">
        <v>2.93</v>
      </c>
      <c r="K767">
        <v>2.29</v>
      </c>
      <c r="L767" t="s">
        <v>60</v>
      </c>
      <c r="M767" t="s">
        <v>29</v>
      </c>
      <c r="N767" t="s">
        <v>97</v>
      </c>
    </row>
    <row r="768" spans="1:14">
      <c r="A768" t="s">
        <v>1822</v>
      </c>
      <c r="B768" t="s">
        <v>342</v>
      </c>
      <c r="C768" t="s">
        <v>1823</v>
      </c>
      <c r="D768" t="s">
        <v>26</v>
      </c>
      <c r="E768" t="s">
        <v>18</v>
      </c>
      <c r="F768" t="s">
        <v>19</v>
      </c>
      <c r="G768">
        <v>4</v>
      </c>
      <c r="H768">
        <v>7.97</v>
      </c>
      <c r="I768">
        <v>31.88</v>
      </c>
      <c r="J768">
        <v>21.3</v>
      </c>
      <c r="K768">
        <v>10.58</v>
      </c>
      <c r="L768" t="s">
        <v>20</v>
      </c>
      <c r="M768" t="s">
        <v>29</v>
      </c>
      <c r="N768" t="s">
        <v>88</v>
      </c>
    </row>
    <row r="769" spans="1:14">
      <c r="A769" t="s">
        <v>1824</v>
      </c>
      <c r="B769" t="s">
        <v>1825</v>
      </c>
      <c r="C769" t="s">
        <v>1353</v>
      </c>
      <c r="D769" t="s">
        <v>69</v>
      </c>
      <c r="E769" t="s">
        <v>18</v>
      </c>
      <c r="F769" t="s">
        <v>146</v>
      </c>
      <c r="G769">
        <v>3</v>
      </c>
      <c r="H769">
        <v>3.29</v>
      </c>
      <c r="I769">
        <v>9.87</v>
      </c>
      <c r="J769">
        <v>6.51</v>
      </c>
      <c r="K769">
        <v>3.36</v>
      </c>
      <c r="L769" t="s">
        <v>53</v>
      </c>
      <c r="M769" t="s">
        <v>54</v>
      </c>
      <c r="N769" t="s">
        <v>373</v>
      </c>
    </row>
    <row r="770" spans="1:14">
      <c r="A770" t="s">
        <v>1826</v>
      </c>
      <c r="B770" t="s">
        <v>1247</v>
      </c>
      <c r="C770" t="s">
        <v>1827</v>
      </c>
      <c r="D770" t="s">
        <v>52</v>
      </c>
      <c r="E770" t="s">
        <v>27</v>
      </c>
      <c r="F770" t="s">
        <v>70</v>
      </c>
      <c r="G770">
        <v>4</v>
      </c>
      <c r="H770">
        <v>7.11</v>
      </c>
      <c r="I770">
        <v>28.44</v>
      </c>
      <c r="J770">
        <v>14.36</v>
      </c>
      <c r="K770">
        <v>14.08</v>
      </c>
      <c r="L770" t="s">
        <v>60</v>
      </c>
      <c r="M770" t="s">
        <v>29</v>
      </c>
      <c r="N770" t="s">
        <v>65</v>
      </c>
    </row>
    <row r="771" spans="1:14">
      <c r="A771" t="s">
        <v>1828</v>
      </c>
      <c r="B771" t="s">
        <v>120</v>
      </c>
      <c r="C771" t="s">
        <v>734</v>
      </c>
      <c r="D771" t="s">
        <v>17</v>
      </c>
      <c r="E771" t="s">
        <v>74</v>
      </c>
      <c r="F771" t="s">
        <v>92</v>
      </c>
      <c r="G771">
        <v>1</v>
      </c>
      <c r="H771">
        <v>2.63</v>
      </c>
      <c r="I771">
        <v>2.63</v>
      </c>
      <c r="J771">
        <v>1.29</v>
      </c>
      <c r="K771">
        <v>1.34</v>
      </c>
      <c r="L771" t="s">
        <v>20</v>
      </c>
      <c r="M771" t="s">
        <v>21</v>
      </c>
      <c r="N771" t="s">
        <v>155</v>
      </c>
    </row>
    <row r="772" spans="1:14">
      <c r="A772" t="s">
        <v>1829</v>
      </c>
      <c r="B772" t="s">
        <v>673</v>
      </c>
      <c r="C772" t="s">
        <v>1830</v>
      </c>
      <c r="D772" t="s">
        <v>17</v>
      </c>
      <c r="E772" t="s">
        <v>18</v>
      </c>
      <c r="F772" t="s">
        <v>146</v>
      </c>
      <c r="G772">
        <v>3</v>
      </c>
      <c r="H772">
        <v>2.55</v>
      </c>
      <c r="I772">
        <v>7.65</v>
      </c>
      <c r="J772">
        <v>3.5</v>
      </c>
      <c r="K772">
        <v>4.15</v>
      </c>
      <c r="L772" t="s">
        <v>20</v>
      </c>
      <c r="M772" t="s">
        <v>21</v>
      </c>
      <c r="N772" t="s">
        <v>61</v>
      </c>
    </row>
    <row r="773" spans="1:14">
      <c r="A773" t="s">
        <v>1831</v>
      </c>
      <c r="B773" t="s">
        <v>1058</v>
      </c>
      <c r="C773" t="s">
        <v>1337</v>
      </c>
      <c r="D773" t="s">
        <v>26</v>
      </c>
      <c r="E773" t="s">
        <v>34</v>
      </c>
      <c r="F773" t="s">
        <v>59</v>
      </c>
      <c r="G773">
        <v>5</v>
      </c>
      <c r="H773">
        <v>2.82</v>
      </c>
      <c r="I773">
        <v>14.1</v>
      </c>
      <c r="J773">
        <v>7.44</v>
      </c>
      <c r="K773">
        <v>6.66</v>
      </c>
      <c r="L773" t="s">
        <v>20</v>
      </c>
      <c r="M773" t="s">
        <v>21</v>
      </c>
      <c r="N773" t="s">
        <v>397</v>
      </c>
    </row>
    <row r="774" spans="1:14">
      <c r="A774" t="s">
        <v>1832</v>
      </c>
      <c r="B774" t="s">
        <v>250</v>
      </c>
      <c r="C774" t="s">
        <v>1611</v>
      </c>
      <c r="D774" t="s">
        <v>26</v>
      </c>
      <c r="E774" t="s">
        <v>34</v>
      </c>
      <c r="F774" t="s">
        <v>35</v>
      </c>
      <c r="G774">
        <v>1</v>
      </c>
      <c r="H774">
        <v>7.95</v>
      </c>
      <c r="I774">
        <v>7.95</v>
      </c>
      <c r="J774">
        <v>4.25</v>
      </c>
      <c r="K774">
        <v>3.7</v>
      </c>
      <c r="L774" t="s">
        <v>20</v>
      </c>
      <c r="M774" t="s">
        <v>21</v>
      </c>
      <c r="N774" t="s">
        <v>783</v>
      </c>
    </row>
    <row r="775" spans="1:14">
      <c r="A775" t="s">
        <v>1833</v>
      </c>
      <c r="B775" t="s">
        <v>1681</v>
      </c>
      <c r="C775" t="s">
        <v>168</v>
      </c>
      <c r="D775" t="s">
        <v>69</v>
      </c>
      <c r="E775" t="s">
        <v>34</v>
      </c>
      <c r="F775" t="s">
        <v>35</v>
      </c>
      <c r="G775">
        <v>5</v>
      </c>
      <c r="H775">
        <v>4.77</v>
      </c>
      <c r="I775">
        <v>23.85</v>
      </c>
      <c r="J775">
        <v>10.97</v>
      </c>
      <c r="K775">
        <v>12.88</v>
      </c>
      <c r="L775" t="s">
        <v>60</v>
      </c>
      <c r="M775" t="s">
        <v>54</v>
      </c>
      <c r="N775" t="s">
        <v>381</v>
      </c>
    </row>
    <row r="776" spans="1:14">
      <c r="A776" t="s">
        <v>1834</v>
      </c>
      <c r="B776" t="s">
        <v>429</v>
      </c>
      <c r="C776" t="s">
        <v>1356</v>
      </c>
      <c r="D776" t="s">
        <v>69</v>
      </c>
      <c r="E776" t="s">
        <v>18</v>
      </c>
      <c r="F776" t="s">
        <v>146</v>
      </c>
      <c r="G776">
        <v>2</v>
      </c>
      <c r="H776">
        <v>7.35</v>
      </c>
      <c r="I776">
        <v>14.7</v>
      </c>
      <c r="J776">
        <v>7.18</v>
      </c>
      <c r="K776">
        <v>7.52</v>
      </c>
      <c r="L776" t="s">
        <v>60</v>
      </c>
      <c r="M776" t="s">
        <v>29</v>
      </c>
      <c r="N776" t="s">
        <v>365</v>
      </c>
    </row>
    <row r="777" spans="1:14">
      <c r="A777" t="s">
        <v>1835</v>
      </c>
      <c r="B777" t="s">
        <v>1541</v>
      </c>
      <c r="C777" t="s">
        <v>1426</v>
      </c>
      <c r="D777" t="s">
        <v>69</v>
      </c>
      <c r="E777" t="s">
        <v>74</v>
      </c>
      <c r="F777" t="s">
        <v>83</v>
      </c>
      <c r="G777">
        <v>3</v>
      </c>
      <c r="H777">
        <v>4.16</v>
      </c>
      <c r="I777">
        <v>12.48</v>
      </c>
      <c r="J777">
        <v>6.54</v>
      </c>
      <c r="K777">
        <v>5.94</v>
      </c>
      <c r="L777" t="s">
        <v>20</v>
      </c>
      <c r="M777" t="s">
        <v>54</v>
      </c>
      <c r="N777" t="s">
        <v>187</v>
      </c>
    </row>
    <row r="778" spans="1:14">
      <c r="A778" t="s">
        <v>1836</v>
      </c>
      <c r="B778" t="s">
        <v>1457</v>
      </c>
      <c r="C778" t="s">
        <v>1837</v>
      </c>
      <c r="D778" t="s">
        <v>46</v>
      </c>
      <c r="E778" t="s">
        <v>27</v>
      </c>
      <c r="F778" t="s">
        <v>169</v>
      </c>
      <c r="G778">
        <v>3</v>
      </c>
      <c r="H778">
        <v>6.07</v>
      </c>
      <c r="I778">
        <v>18.21</v>
      </c>
      <c r="J778">
        <v>9.7</v>
      </c>
      <c r="K778">
        <v>8.51</v>
      </c>
      <c r="L778" t="s">
        <v>60</v>
      </c>
      <c r="M778" t="s">
        <v>54</v>
      </c>
      <c r="N778" t="s">
        <v>451</v>
      </c>
    </row>
    <row r="779" spans="1:14">
      <c r="A779" t="s">
        <v>1838</v>
      </c>
      <c r="B779" t="s">
        <v>1449</v>
      </c>
      <c r="C779" t="s">
        <v>1839</v>
      </c>
      <c r="D779" t="s">
        <v>69</v>
      </c>
      <c r="E779" t="s">
        <v>18</v>
      </c>
      <c r="F779" t="s">
        <v>41</v>
      </c>
      <c r="G779">
        <v>1</v>
      </c>
      <c r="H779">
        <v>6.18</v>
      </c>
      <c r="I779">
        <v>6.18</v>
      </c>
      <c r="J779">
        <v>3.06</v>
      </c>
      <c r="K779">
        <v>3.12</v>
      </c>
      <c r="L779" t="s">
        <v>20</v>
      </c>
      <c r="M779" t="s">
        <v>54</v>
      </c>
      <c r="N779" t="s">
        <v>580</v>
      </c>
    </row>
    <row r="780" spans="1:14">
      <c r="A780" t="s">
        <v>1840</v>
      </c>
      <c r="B780" t="s">
        <v>1550</v>
      </c>
      <c r="C780" t="s">
        <v>1635</v>
      </c>
      <c r="D780" t="s">
        <v>46</v>
      </c>
      <c r="E780" t="s">
        <v>34</v>
      </c>
      <c r="F780" t="s">
        <v>47</v>
      </c>
      <c r="G780">
        <v>3</v>
      </c>
      <c r="H780">
        <v>6.46</v>
      </c>
      <c r="I780">
        <v>19.38</v>
      </c>
      <c r="J780">
        <v>12.79</v>
      </c>
      <c r="K780">
        <v>6.59</v>
      </c>
      <c r="L780" t="s">
        <v>53</v>
      </c>
      <c r="M780" t="s">
        <v>29</v>
      </c>
      <c r="N780" t="s">
        <v>796</v>
      </c>
    </row>
    <row r="781" spans="1:14">
      <c r="A781" t="s">
        <v>1841</v>
      </c>
      <c r="B781" t="s">
        <v>653</v>
      </c>
      <c r="C781" t="s">
        <v>190</v>
      </c>
      <c r="D781" t="s">
        <v>46</v>
      </c>
      <c r="E781" t="s">
        <v>18</v>
      </c>
      <c r="F781" t="s">
        <v>146</v>
      </c>
      <c r="G781">
        <v>2</v>
      </c>
      <c r="H781">
        <v>6.16</v>
      </c>
      <c r="I781">
        <v>12.32</v>
      </c>
      <c r="J781">
        <v>6.23</v>
      </c>
      <c r="K781">
        <v>6.09</v>
      </c>
      <c r="L781" t="s">
        <v>53</v>
      </c>
      <c r="M781" t="s">
        <v>21</v>
      </c>
      <c r="N781" t="s">
        <v>841</v>
      </c>
    </row>
    <row r="782" spans="1:14">
      <c r="A782" t="s">
        <v>1842</v>
      </c>
      <c r="B782" t="s">
        <v>528</v>
      </c>
      <c r="C782" t="s">
        <v>1843</v>
      </c>
      <c r="D782" t="s">
        <v>17</v>
      </c>
      <c r="E782" t="s">
        <v>34</v>
      </c>
      <c r="F782" t="s">
        <v>59</v>
      </c>
      <c r="G782">
        <v>3</v>
      </c>
      <c r="H782">
        <v>4.54</v>
      </c>
      <c r="I782">
        <v>13.62</v>
      </c>
      <c r="J782">
        <v>8.46</v>
      </c>
      <c r="K782">
        <v>5.16</v>
      </c>
      <c r="L782" t="s">
        <v>53</v>
      </c>
      <c r="M782" t="s">
        <v>29</v>
      </c>
      <c r="N782" t="s">
        <v>151</v>
      </c>
    </row>
    <row r="783" spans="1:14">
      <c r="A783" t="s">
        <v>1844</v>
      </c>
      <c r="B783" t="s">
        <v>1845</v>
      </c>
      <c r="C783" t="s">
        <v>1248</v>
      </c>
      <c r="D783" t="s">
        <v>52</v>
      </c>
      <c r="E783" t="s">
        <v>34</v>
      </c>
      <c r="F783" t="s">
        <v>135</v>
      </c>
      <c r="G783">
        <v>3</v>
      </c>
      <c r="H783">
        <v>4.87</v>
      </c>
      <c r="I783">
        <v>14.61</v>
      </c>
      <c r="J783">
        <v>6.99</v>
      </c>
      <c r="K783">
        <v>7.62</v>
      </c>
      <c r="L783" t="s">
        <v>20</v>
      </c>
      <c r="M783" t="s">
        <v>54</v>
      </c>
      <c r="N783" t="s">
        <v>518</v>
      </c>
    </row>
    <row r="784" spans="1:14">
      <c r="A784" t="s">
        <v>1846</v>
      </c>
      <c r="B784" t="s">
        <v>974</v>
      </c>
      <c r="C784" t="s">
        <v>1847</v>
      </c>
      <c r="D784" t="s">
        <v>46</v>
      </c>
      <c r="E784" t="s">
        <v>18</v>
      </c>
      <c r="F784" t="s">
        <v>146</v>
      </c>
      <c r="G784">
        <v>3</v>
      </c>
      <c r="H784">
        <v>7.05</v>
      </c>
      <c r="I784">
        <v>21.15</v>
      </c>
      <c r="J784">
        <v>14.26</v>
      </c>
      <c r="K784">
        <v>6.89</v>
      </c>
      <c r="L784" t="s">
        <v>36</v>
      </c>
      <c r="M784" t="s">
        <v>54</v>
      </c>
      <c r="N784" t="s">
        <v>352</v>
      </c>
    </row>
    <row r="785" spans="1:14">
      <c r="A785" t="s">
        <v>1848</v>
      </c>
      <c r="B785" t="s">
        <v>499</v>
      </c>
      <c r="C785" t="s">
        <v>1849</v>
      </c>
      <c r="D785" t="s">
        <v>46</v>
      </c>
      <c r="E785" t="s">
        <v>74</v>
      </c>
      <c r="F785" t="s">
        <v>92</v>
      </c>
      <c r="G785">
        <v>1</v>
      </c>
      <c r="H785">
        <v>3.79</v>
      </c>
      <c r="I785">
        <v>3.79</v>
      </c>
      <c r="J785">
        <v>2.55</v>
      </c>
      <c r="K785">
        <v>1.24</v>
      </c>
      <c r="L785" t="s">
        <v>20</v>
      </c>
      <c r="M785" t="s">
        <v>21</v>
      </c>
      <c r="N785" t="s">
        <v>139</v>
      </c>
    </row>
    <row r="786" spans="1:14">
      <c r="A786" t="s">
        <v>1850</v>
      </c>
      <c r="B786" t="s">
        <v>1851</v>
      </c>
      <c r="C786" t="s">
        <v>1852</v>
      </c>
      <c r="D786" t="s">
        <v>26</v>
      </c>
      <c r="E786" t="s">
        <v>18</v>
      </c>
      <c r="F786" t="s">
        <v>146</v>
      </c>
      <c r="G786">
        <v>5</v>
      </c>
      <c r="H786">
        <v>5.39</v>
      </c>
      <c r="I786">
        <v>26.95</v>
      </c>
      <c r="J786">
        <v>16.46</v>
      </c>
      <c r="K786">
        <v>10.49</v>
      </c>
      <c r="L786" t="s">
        <v>36</v>
      </c>
      <c r="M786" t="s">
        <v>21</v>
      </c>
      <c r="N786" t="s">
        <v>744</v>
      </c>
    </row>
    <row r="787" spans="1:14">
      <c r="A787" t="s">
        <v>1853</v>
      </c>
      <c r="B787" t="s">
        <v>1058</v>
      </c>
      <c r="C787" t="s">
        <v>923</v>
      </c>
      <c r="D787" t="s">
        <v>69</v>
      </c>
      <c r="E787" t="s">
        <v>27</v>
      </c>
      <c r="F787" t="s">
        <v>28</v>
      </c>
      <c r="G787">
        <v>4</v>
      </c>
      <c r="H787">
        <v>4.99</v>
      </c>
      <c r="I787">
        <v>19.96</v>
      </c>
      <c r="J787">
        <v>12.46</v>
      </c>
      <c r="K787">
        <v>7.5</v>
      </c>
      <c r="L787" t="s">
        <v>60</v>
      </c>
      <c r="M787" t="s">
        <v>21</v>
      </c>
      <c r="N787" t="s">
        <v>513</v>
      </c>
    </row>
    <row r="788" spans="1:14">
      <c r="A788" t="s">
        <v>1854</v>
      </c>
      <c r="B788" t="s">
        <v>528</v>
      </c>
      <c r="C788" t="s">
        <v>1855</v>
      </c>
      <c r="D788" t="s">
        <v>26</v>
      </c>
      <c r="E788" t="s">
        <v>18</v>
      </c>
      <c r="F788" t="s">
        <v>19</v>
      </c>
      <c r="G788">
        <v>1</v>
      </c>
      <c r="H788">
        <v>3.05</v>
      </c>
      <c r="I788">
        <v>3.05</v>
      </c>
      <c r="J788">
        <v>1.5</v>
      </c>
      <c r="K788">
        <v>1.55</v>
      </c>
      <c r="L788" t="s">
        <v>36</v>
      </c>
      <c r="M788" t="s">
        <v>54</v>
      </c>
      <c r="N788" t="s">
        <v>352</v>
      </c>
    </row>
    <row r="789" spans="1:14">
      <c r="A789" t="s">
        <v>1856</v>
      </c>
      <c r="B789" t="s">
        <v>1113</v>
      </c>
      <c r="C789" t="s">
        <v>1378</v>
      </c>
      <c r="D789" t="s">
        <v>17</v>
      </c>
      <c r="E789" t="s">
        <v>18</v>
      </c>
      <c r="F789" t="s">
        <v>146</v>
      </c>
      <c r="G789">
        <v>2</v>
      </c>
      <c r="H789">
        <v>6.64</v>
      </c>
      <c r="I789">
        <v>13.28</v>
      </c>
      <c r="J789">
        <v>7</v>
      </c>
      <c r="K789">
        <v>6.28</v>
      </c>
      <c r="L789" t="s">
        <v>60</v>
      </c>
      <c r="M789" t="s">
        <v>21</v>
      </c>
      <c r="N789" t="s">
        <v>887</v>
      </c>
    </row>
    <row r="790" spans="1:14">
      <c r="A790" t="s">
        <v>1857</v>
      </c>
      <c r="B790" t="s">
        <v>386</v>
      </c>
      <c r="C790" t="s">
        <v>1858</v>
      </c>
      <c r="D790" t="s">
        <v>69</v>
      </c>
      <c r="E790" t="s">
        <v>34</v>
      </c>
      <c r="F790" t="s">
        <v>135</v>
      </c>
      <c r="G790">
        <v>1</v>
      </c>
      <c r="H790">
        <v>5.45</v>
      </c>
      <c r="I790">
        <v>5.45</v>
      </c>
      <c r="J790">
        <v>2.48</v>
      </c>
      <c r="K790">
        <v>2.97</v>
      </c>
      <c r="L790" t="s">
        <v>60</v>
      </c>
      <c r="M790" t="s">
        <v>21</v>
      </c>
      <c r="N790" t="s">
        <v>497</v>
      </c>
    </row>
    <row r="791" spans="1:14">
      <c r="A791" t="s">
        <v>1859</v>
      </c>
      <c r="B791" t="s">
        <v>499</v>
      </c>
      <c r="C791" t="s">
        <v>1860</v>
      </c>
      <c r="D791" t="s">
        <v>69</v>
      </c>
      <c r="E791" t="s">
        <v>74</v>
      </c>
      <c r="F791" t="s">
        <v>75</v>
      </c>
      <c r="G791">
        <v>1</v>
      </c>
      <c r="H791">
        <v>3.91</v>
      </c>
      <c r="I791">
        <v>3.91</v>
      </c>
      <c r="J791">
        <v>1.86</v>
      </c>
      <c r="K791">
        <v>2.05</v>
      </c>
      <c r="L791" t="s">
        <v>53</v>
      </c>
      <c r="M791" t="s">
        <v>21</v>
      </c>
      <c r="N791" t="s">
        <v>93</v>
      </c>
    </row>
    <row r="792" spans="1:14">
      <c r="A792" t="s">
        <v>1861</v>
      </c>
      <c r="B792" t="s">
        <v>301</v>
      </c>
      <c r="C792" t="s">
        <v>1189</v>
      </c>
      <c r="D792" t="s">
        <v>17</v>
      </c>
      <c r="E792" t="s">
        <v>18</v>
      </c>
      <c r="F792" t="s">
        <v>41</v>
      </c>
      <c r="G792">
        <v>3</v>
      </c>
      <c r="H792">
        <v>3.58</v>
      </c>
      <c r="I792">
        <v>10.74</v>
      </c>
      <c r="J792">
        <v>5.21</v>
      </c>
      <c r="K792">
        <v>5.53</v>
      </c>
      <c r="L792" t="s">
        <v>60</v>
      </c>
      <c r="M792" t="s">
        <v>54</v>
      </c>
      <c r="N792" t="s">
        <v>384</v>
      </c>
    </row>
    <row r="793" spans="1:14">
      <c r="A793" t="s">
        <v>1862</v>
      </c>
      <c r="B793" t="s">
        <v>827</v>
      </c>
      <c r="C793" t="s">
        <v>245</v>
      </c>
      <c r="D793" t="s">
        <v>26</v>
      </c>
      <c r="E793" t="s">
        <v>27</v>
      </c>
      <c r="F793" t="s">
        <v>70</v>
      </c>
      <c r="G793">
        <v>3</v>
      </c>
      <c r="H793">
        <v>7.64</v>
      </c>
      <c r="I793">
        <v>22.92</v>
      </c>
      <c r="J793">
        <v>13.52</v>
      </c>
      <c r="K793">
        <v>9.4</v>
      </c>
      <c r="L793" t="s">
        <v>60</v>
      </c>
      <c r="M793" t="s">
        <v>21</v>
      </c>
      <c r="N793" t="s">
        <v>970</v>
      </c>
    </row>
    <row r="794" spans="1:14">
      <c r="A794" t="s">
        <v>1863</v>
      </c>
      <c r="B794" t="s">
        <v>1315</v>
      </c>
      <c r="C794" t="s">
        <v>809</v>
      </c>
      <c r="D794" t="s">
        <v>26</v>
      </c>
      <c r="E794" t="s">
        <v>27</v>
      </c>
      <c r="F794" t="s">
        <v>169</v>
      </c>
      <c r="G794">
        <v>1</v>
      </c>
      <c r="H794">
        <v>4.52</v>
      </c>
      <c r="I794">
        <v>4.52</v>
      </c>
      <c r="J794">
        <v>2.86</v>
      </c>
      <c r="K794">
        <v>1.66</v>
      </c>
      <c r="L794" t="s">
        <v>20</v>
      </c>
      <c r="M794" t="s">
        <v>54</v>
      </c>
      <c r="N794" t="s">
        <v>155</v>
      </c>
    </row>
    <row r="795" spans="1:14">
      <c r="A795" t="s">
        <v>1864</v>
      </c>
      <c r="B795" t="s">
        <v>453</v>
      </c>
      <c r="C795" t="s">
        <v>943</v>
      </c>
      <c r="D795" t="s">
        <v>52</v>
      </c>
      <c r="E795" t="s">
        <v>27</v>
      </c>
      <c r="F795" t="s">
        <v>70</v>
      </c>
      <c r="G795">
        <v>2</v>
      </c>
      <c r="H795">
        <v>5.4</v>
      </c>
      <c r="I795">
        <v>10.8</v>
      </c>
      <c r="J795">
        <v>7.27</v>
      </c>
      <c r="K795">
        <v>3.53</v>
      </c>
      <c r="L795" t="s">
        <v>60</v>
      </c>
      <c r="M795" t="s">
        <v>54</v>
      </c>
      <c r="N795" t="s">
        <v>55</v>
      </c>
    </row>
    <row r="796" spans="1:14">
      <c r="A796" t="s">
        <v>1865</v>
      </c>
      <c r="B796" t="s">
        <v>964</v>
      </c>
      <c r="C796" t="s">
        <v>1462</v>
      </c>
      <c r="D796" t="s">
        <v>69</v>
      </c>
      <c r="E796" t="s">
        <v>34</v>
      </c>
      <c r="F796" t="s">
        <v>47</v>
      </c>
      <c r="G796">
        <v>2</v>
      </c>
      <c r="H796">
        <v>7.54</v>
      </c>
      <c r="I796">
        <v>15.08</v>
      </c>
      <c r="J796">
        <v>9.79</v>
      </c>
      <c r="K796">
        <v>5.29</v>
      </c>
      <c r="L796" t="s">
        <v>53</v>
      </c>
      <c r="M796" t="s">
        <v>54</v>
      </c>
      <c r="N796" t="s">
        <v>491</v>
      </c>
    </row>
    <row r="797" spans="1:14">
      <c r="A797" t="s">
        <v>1866</v>
      </c>
      <c r="B797" t="s">
        <v>1867</v>
      </c>
      <c r="C797" t="s">
        <v>1868</v>
      </c>
      <c r="D797" t="s">
        <v>52</v>
      </c>
      <c r="E797" t="s">
        <v>74</v>
      </c>
      <c r="F797" t="s">
        <v>92</v>
      </c>
      <c r="G797">
        <v>5</v>
      </c>
      <c r="H797">
        <v>5.73</v>
      </c>
      <c r="I797">
        <v>28.65</v>
      </c>
      <c r="J797">
        <v>13.41</v>
      </c>
      <c r="K797">
        <v>15.24</v>
      </c>
      <c r="L797" t="s">
        <v>36</v>
      </c>
      <c r="M797" t="s">
        <v>21</v>
      </c>
      <c r="N797" t="s">
        <v>915</v>
      </c>
    </row>
    <row r="798" spans="1:14">
      <c r="A798" t="s">
        <v>1869</v>
      </c>
      <c r="B798" t="s">
        <v>266</v>
      </c>
      <c r="C798" t="s">
        <v>1870</v>
      </c>
      <c r="D798" t="s">
        <v>17</v>
      </c>
      <c r="E798" t="s">
        <v>18</v>
      </c>
      <c r="F798" t="s">
        <v>146</v>
      </c>
      <c r="G798">
        <v>3</v>
      </c>
      <c r="H798">
        <v>4.45</v>
      </c>
      <c r="I798">
        <v>13.35</v>
      </c>
      <c r="J798">
        <v>7.86</v>
      </c>
      <c r="K798">
        <v>5.49</v>
      </c>
      <c r="L798" t="s">
        <v>20</v>
      </c>
      <c r="M798" t="s">
        <v>54</v>
      </c>
      <c r="N798" t="s">
        <v>126</v>
      </c>
    </row>
    <row r="799" spans="1:14">
      <c r="A799" t="s">
        <v>1871</v>
      </c>
      <c r="B799" t="s">
        <v>1265</v>
      </c>
      <c r="C799" t="s">
        <v>1872</v>
      </c>
      <c r="D799" t="s">
        <v>52</v>
      </c>
      <c r="E799" t="s">
        <v>74</v>
      </c>
      <c r="F799" t="s">
        <v>83</v>
      </c>
      <c r="G799">
        <v>2</v>
      </c>
      <c r="H799">
        <v>6.69</v>
      </c>
      <c r="I799">
        <v>13.38</v>
      </c>
      <c r="J799">
        <v>8.79</v>
      </c>
      <c r="K799">
        <v>4.59</v>
      </c>
      <c r="L799" t="s">
        <v>53</v>
      </c>
      <c r="M799" t="s">
        <v>29</v>
      </c>
      <c r="N799" t="s">
        <v>497</v>
      </c>
    </row>
    <row r="800" spans="1:14">
      <c r="A800" t="s">
        <v>1873</v>
      </c>
      <c r="B800" t="s">
        <v>532</v>
      </c>
      <c r="C800" t="s">
        <v>830</v>
      </c>
      <c r="D800" t="s">
        <v>46</v>
      </c>
      <c r="E800" t="s">
        <v>18</v>
      </c>
      <c r="F800" t="s">
        <v>41</v>
      </c>
      <c r="G800">
        <v>5</v>
      </c>
      <c r="H800">
        <v>7.84</v>
      </c>
      <c r="I800">
        <v>39.2</v>
      </c>
      <c r="J800">
        <v>24.39</v>
      </c>
      <c r="K800">
        <v>14.81</v>
      </c>
      <c r="L800" t="s">
        <v>60</v>
      </c>
      <c r="M800" t="s">
        <v>21</v>
      </c>
      <c r="N800" t="s">
        <v>278</v>
      </c>
    </row>
    <row r="801" spans="1:14">
      <c r="A801" t="s">
        <v>1874</v>
      </c>
      <c r="B801" t="s">
        <v>95</v>
      </c>
      <c r="C801" t="s">
        <v>1875</v>
      </c>
      <c r="D801" t="s">
        <v>26</v>
      </c>
      <c r="E801" t="s">
        <v>27</v>
      </c>
      <c r="F801" t="s">
        <v>169</v>
      </c>
      <c r="G801">
        <v>4</v>
      </c>
      <c r="H801">
        <v>3.64</v>
      </c>
      <c r="I801">
        <v>14.56</v>
      </c>
      <c r="J801">
        <v>9.21</v>
      </c>
      <c r="K801">
        <v>5.35</v>
      </c>
      <c r="L801" t="s">
        <v>53</v>
      </c>
      <c r="M801" t="s">
        <v>29</v>
      </c>
      <c r="N801" t="s">
        <v>30</v>
      </c>
    </row>
    <row r="802" spans="1:14">
      <c r="A802" t="s">
        <v>1876</v>
      </c>
      <c r="B802" t="s">
        <v>1324</v>
      </c>
      <c r="C802" t="s">
        <v>1877</v>
      </c>
      <c r="D802" t="s">
        <v>26</v>
      </c>
      <c r="E802" t="s">
        <v>74</v>
      </c>
      <c r="F802" t="s">
        <v>75</v>
      </c>
      <c r="G802">
        <v>5</v>
      </c>
      <c r="H802">
        <v>3.02</v>
      </c>
      <c r="I802">
        <v>15.1</v>
      </c>
      <c r="J802">
        <v>7.98</v>
      </c>
      <c r="K802">
        <v>7.12</v>
      </c>
      <c r="L802" t="s">
        <v>20</v>
      </c>
      <c r="M802" t="s">
        <v>54</v>
      </c>
      <c r="N802" t="s">
        <v>862</v>
      </c>
    </row>
    <row r="803" spans="1:14">
      <c r="A803" t="s">
        <v>1878</v>
      </c>
      <c r="B803" t="s">
        <v>608</v>
      </c>
      <c r="C803" t="s">
        <v>1743</v>
      </c>
      <c r="D803" t="s">
        <v>17</v>
      </c>
      <c r="E803" t="s">
        <v>27</v>
      </c>
      <c r="F803" t="s">
        <v>125</v>
      </c>
      <c r="G803">
        <v>2</v>
      </c>
      <c r="H803">
        <v>3.29</v>
      </c>
      <c r="I803">
        <v>6.58</v>
      </c>
      <c r="J803">
        <v>3.23</v>
      </c>
      <c r="K803">
        <v>3.35</v>
      </c>
      <c r="L803" t="s">
        <v>20</v>
      </c>
      <c r="M803" t="s">
        <v>21</v>
      </c>
      <c r="N803" t="s">
        <v>151</v>
      </c>
    </row>
    <row r="804" spans="1:14">
      <c r="A804" t="s">
        <v>1879</v>
      </c>
      <c r="B804" t="s">
        <v>1454</v>
      </c>
      <c r="C804" t="s">
        <v>1880</v>
      </c>
      <c r="D804" t="s">
        <v>17</v>
      </c>
      <c r="E804" t="s">
        <v>34</v>
      </c>
      <c r="F804" t="s">
        <v>47</v>
      </c>
      <c r="G804">
        <v>1</v>
      </c>
      <c r="H804">
        <v>7.36</v>
      </c>
      <c r="I804">
        <v>7.36</v>
      </c>
      <c r="J804">
        <v>3.82</v>
      </c>
      <c r="K804">
        <v>3.54</v>
      </c>
      <c r="L804" t="s">
        <v>20</v>
      </c>
      <c r="M804" t="s">
        <v>29</v>
      </c>
      <c r="N804" t="s">
        <v>261</v>
      </c>
    </row>
    <row r="805" spans="1:14">
      <c r="A805" t="s">
        <v>1881</v>
      </c>
      <c r="B805" t="s">
        <v>678</v>
      </c>
      <c r="C805" t="s">
        <v>1882</v>
      </c>
      <c r="D805" t="s">
        <v>69</v>
      </c>
      <c r="E805" t="s">
        <v>74</v>
      </c>
      <c r="F805" t="s">
        <v>92</v>
      </c>
      <c r="G805">
        <v>3</v>
      </c>
      <c r="H805">
        <v>6.26</v>
      </c>
      <c r="I805">
        <v>18.78</v>
      </c>
      <c r="J805">
        <v>9.41</v>
      </c>
      <c r="K805">
        <v>9.37</v>
      </c>
      <c r="L805" t="s">
        <v>53</v>
      </c>
      <c r="M805" t="s">
        <v>54</v>
      </c>
      <c r="N805" t="s">
        <v>401</v>
      </c>
    </row>
    <row r="806" spans="1:14">
      <c r="A806" t="s">
        <v>1883</v>
      </c>
      <c r="B806" t="s">
        <v>1016</v>
      </c>
      <c r="C806" t="s">
        <v>1884</v>
      </c>
      <c r="D806" t="s">
        <v>69</v>
      </c>
      <c r="E806" t="s">
        <v>74</v>
      </c>
      <c r="F806" t="s">
        <v>83</v>
      </c>
      <c r="G806">
        <v>1</v>
      </c>
      <c r="H806">
        <v>7.59</v>
      </c>
      <c r="I806">
        <v>7.59</v>
      </c>
      <c r="J806">
        <v>3.44</v>
      </c>
      <c r="K806">
        <v>4.15</v>
      </c>
      <c r="L806" t="s">
        <v>36</v>
      </c>
      <c r="M806" t="s">
        <v>29</v>
      </c>
      <c r="N806" t="s">
        <v>841</v>
      </c>
    </row>
    <row r="807" spans="1:14">
      <c r="A807" t="s">
        <v>1885</v>
      </c>
      <c r="B807" t="s">
        <v>1457</v>
      </c>
      <c r="C807" t="s">
        <v>1886</v>
      </c>
      <c r="D807" t="s">
        <v>52</v>
      </c>
      <c r="E807" t="s">
        <v>18</v>
      </c>
      <c r="F807" t="s">
        <v>146</v>
      </c>
      <c r="G807">
        <v>2</v>
      </c>
      <c r="H807">
        <v>7.76</v>
      </c>
      <c r="I807">
        <v>15.52</v>
      </c>
      <c r="J807">
        <v>8.3</v>
      </c>
      <c r="K807">
        <v>7.22</v>
      </c>
      <c r="L807" t="s">
        <v>60</v>
      </c>
      <c r="M807" t="s">
        <v>54</v>
      </c>
      <c r="N807" t="s">
        <v>303</v>
      </c>
    </row>
    <row r="808" spans="1:14">
      <c r="A808" t="s">
        <v>1887</v>
      </c>
      <c r="B808" t="s">
        <v>214</v>
      </c>
      <c r="C808" t="s">
        <v>1888</v>
      </c>
      <c r="D808" t="s">
        <v>69</v>
      </c>
      <c r="E808" t="s">
        <v>74</v>
      </c>
      <c r="F808" t="s">
        <v>92</v>
      </c>
      <c r="G808">
        <v>1</v>
      </c>
      <c r="H808">
        <v>5.06</v>
      </c>
      <c r="I808">
        <v>5.06</v>
      </c>
      <c r="J808">
        <v>2.92</v>
      </c>
      <c r="K808">
        <v>2.14</v>
      </c>
      <c r="L808" t="s">
        <v>20</v>
      </c>
      <c r="M808" t="s">
        <v>21</v>
      </c>
      <c r="N808" t="s">
        <v>483</v>
      </c>
    </row>
    <row r="809" spans="1:14">
      <c r="A809" t="s">
        <v>1889</v>
      </c>
      <c r="B809" t="s">
        <v>185</v>
      </c>
      <c r="C809" t="s">
        <v>711</v>
      </c>
      <c r="D809" t="s">
        <v>52</v>
      </c>
      <c r="E809" t="s">
        <v>18</v>
      </c>
      <c r="F809" t="s">
        <v>41</v>
      </c>
      <c r="G809">
        <v>5</v>
      </c>
      <c r="H809">
        <v>3.06</v>
      </c>
      <c r="I809">
        <v>15.3</v>
      </c>
      <c r="J809">
        <v>10.69</v>
      </c>
      <c r="K809">
        <v>4.61</v>
      </c>
      <c r="L809" t="s">
        <v>60</v>
      </c>
      <c r="M809" t="s">
        <v>29</v>
      </c>
      <c r="N809" t="s">
        <v>397</v>
      </c>
    </row>
    <row r="810" spans="1:14">
      <c r="A810" t="s">
        <v>1890</v>
      </c>
      <c r="B810" t="s">
        <v>937</v>
      </c>
      <c r="C810" t="s">
        <v>1017</v>
      </c>
      <c r="D810" t="s">
        <v>52</v>
      </c>
      <c r="E810" t="s">
        <v>18</v>
      </c>
      <c r="F810" t="s">
        <v>41</v>
      </c>
      <c r="G810">
        <v>2</v>
      </c>
      <c r="H810">
        <v>3.61</v>
      </c>
      <c r="I810">
        <v>7.22</v>
      </c>
      <c r="J810">
        <v>4.56</v>
      </c>
      <c r="K810">
        <v>2.66</v>
      </c>
      <c r="L810" t="s">
        <v>53</v>
      </c>
      <c r="M810" t="s">
        <v>29</v>
      </c>
      <c r="N810" t="s">
        <v>139</v>
      </c>
    </row>
    <row r="811" spans="1:14">
      <c r="A811" t="s">
        <v>1891</v>
      </c>
      <c r="B811" t="s">
        <v>276</v>
      </c>
      <c r="C811" t="s">
        <v>1892</v>
      </c>
      <c r="D811" t="s">
        <v>69</v>
      </c>
      <c r="E811" t="s">
        <v>74</v>
      </c>
      <c r="F811" t="s">
        <v>83</v>
      </c>
      <c r="G811">
        <v>1</v>
      </c>
      <c r="H811">
        <v>6.8</v>
      </c>
      <c r="I811">
        <v>6.8</v>
      </c>
      <c r="J811">
        <v>3.47</v>
      </c>
      <c r="K811">
        <v>3.33</v>
      </c>
      <c r="L811" t="s">
        <v>53</v>
      </c>
      <c r="M811" t="s">
        <v>54</v>
      </c>
      <c r="N811" t="s">
        <v>1205</v>
      </c>
    </row>
    <row r="812" spans="1:14">
      <c r="A812" t="s">
        <v>1893</v>
      </c>
      <c r="B812" t="s">
        <v>1699</v>
      </c>
      <c r="C812" t="s">
        <v>873</v>
      </c>
      <c r="D812" t="s">
        <v>17</v>
      </c>
      <c r="E812" t="s">
        <v>34</v>
      </c>
      <c r="F812" t="s">
        <v>47</v>
      </c>
      <c r="G812">
        <v>3</v>
      </c>
      <c r="H812">
        <v>7.76</v>
      </c>
      <c r="I812">
        <v>23.28</v>
      </c>
      <c r="J812">
        <v>15.52</v>
      </c>
      <c r="K812">
        <v>7.76</v>
      </c>
      <c r="L812" t="s">
        <v>53</v>
      </c>
      <c r="M812" t="s">
        <v>54</v>
      </c>
      <c r="N812" t="s">
        <v>287</v>
      </c>
    </row>
    <row r="813" spans="1:14">
      <c r="A813" t="s">
        <v>1894</v>
      </c>
      <c r="B813" t="s">
        <v>848</v>
      </c>
      <c r="C813" t="s">
        <v>421</v>
      </c>
      <c r="D813" t="s">
        <v>69</v>
      </c>
      <c r="E813" t="s">
        <v>27</v>
      </c>
      <c r="F813" t="s">
        <v>28</v>
      </c>
      <c r="G813">
        <v>4</v>
      </c>
      <c r="H813">
        <v>3.63</v>
      </c>
      <c r="I813">
        <v>14.52</v>
      </c>
      <c r="J813">
        <v>8.46</v>
      </c>
      <c r="K813">
        <v>6.06</v>
      </c>
      <c r="L813" t="s">
        <v>53</v>
      </c>
      <c r="M813" t="s">
        <v>54</v>
      </c>
      <c r="N813" t="s">
        <v>126</v>
      </c>
    </row>
    <row r="814" spans="1:14">
      <c r="A814" t="s">
        <v>1895</v>
      </c>
      <c r="B814" t="s">
        <v>137</v>
      </c>
      <c r="C814" t="s">
        <v>1896</v>
      </c>
      <c r="D814" t="s">
        <v>46</v>
      </c>
      <c r="E814" t="s">
        <v>27</v>
      </c>
      <c r="F814" t="s">
        <v>28</v>
      </c>
      <c r="G814">
        <v>1</v>
      </c>
      <c r="H814">
        <v>2.79</v>
      </c>
      <c r="I814">
        <v>2.79</v>
      </c>
      <c r="J814">
        <v>1.81</v>
      </c>
      <c r="K814">
        <v>0.98</v>
      </c>
      <c r="L814" t="s">
        <v>20</v>
      </c>
      <c r="M814" t="s">
        <v>54</v>
      </c>
      <c r="N814" t="s">
        <v>401</v>
      </c>
    </row>
    <row r="815" spans="1:14">
      <c r="A815" t="s">
        <v>1897</v>
      </c>
      <c r="B815" t="s">
        <v>1898</v>
      </c>
      <c r="C815" t="s">
        <v>1899</v>
      </c>
      <c r="D815" t="s">
        <v>52</v>
      </c>
      <c r="E815" t="s">
        <v>74</v>
      </c>
      <c r="F815" t="s">
        <v>83</v>
      </c>
      <c r="G815">
        <v>5</v>
      </c>
      <c r="H815">
        <v>5.86</v>
      </c>
      <c r="I815">
        <v>29.3</v>
      </c>
      <c r="J815">
        <v>20.22</v>
      </c>
      <c r="K815">
        <v>9.08</v>
      </c>
      <c r="L815" t="s">
        <v>20</v>
      </c>
      <c r="M815" t="s">
        <v>29</v>
      </c>
      <c r="N815" t="s">
        <v>30</v>
      </c>
    </row>
    <row r="816" spans="1:14">
      <c r="A816" t="s">
        <v>1900</v>
      </c>
      <c r="B816" t="s">
        <v>354</v>
      </c>
      <c r="C816" t="s">
        <v>1044</v>
      </c>
      <c r="D816" t="s">
        <v>17</v>
      </c>
      <c r="E816" t="s">
        <v>27</v>
      </c>
      <c r="F816" t="s">
        <v>28</v>
      </c>
      <c r="G816">
        <v>4</v>
      </c>
      <c r="H816">
        <v>7.83</v>
      </c>
      <c r="I816">
        <v>31.32</v>
      </c>
      <c r="J816">
        <v>18.5</v>
      </c>
      <c r="K816">
        <v>12.82</v>
      </c>
      <c r="L816" t="s">
        <v>20</v>
      </c>
      <c r="M816" t="s">
        <v>21</v>
      </c>
      <c r="N816" t="s">
        <v>915</v>
      </c>
    </row>
    <row r="817" spans="1:14">
      <c r="A817" t="s">
        <v>1901</v>
      </c>
      <c r="B817" t="s">
        <v>320</v>
      </c>
      <c r="C817" t="s">
        <v>1353</v>
      </c>
      <c r="D817" t="s">
        <v>52</v>
      </c>
      <c r="E817" t="s">
        <v>27</v>
      </c>
      <c r="F817" t="s">
        <v>28</v>
      </c>
      <c r="G817">
        <v>2</v>
      </c>
      <c r="H817">
        <v>3.29</v>
      </c>
      <c r="I817">
        <v>6.58</v>
      </c>
      <c r="J817">
        <v>4.18</v>
      </c>
      <c r="K817">
        <v>2.4</v>
      </c>
      <c r="L817" t="s">
        <v>36</v>
      </c>
      <c r="M817" t="s">
        <v>21</v>
      </c>
      <c r="N817" t="s">
        <v>200</v>
      </c>
    </row>
    <row r="818" spans="1:14">
      <c r="A818" t="s">
        <v>1902</v>
      </c>
      <c r="B818" t="s">
        <v>1547</v>
      </c>
      <c r="C818" t="s">
        <v>586</v>
      </c>
      <c r="D818" t="s">
        <v>26</v>
      </c>
      <c r="E818" t="s">
        <v>27</v>
      </c>
      <c r="F818" t="s">
        <v>70</v>
      </c>
      <c r="G818">
        <v>3</v>
      </c>
      <c r="H818">
        <v>4.4</v>
      </c>
      <c r="I818">
        <v>13.2</v>
      </c>
      <c r="J818">
        <v>6.82</v>
      </c>
      <c r="K818">
        <v>6.38</v>
      </c>
      <c r="L818" t="s">
        <v>60</v>
      </c>
      <c r="M818" t="s">
        <v>29</v>
      </c>
      <c r="N818" t="s">
        <v>1118</v>
      </c>
    </row>
    <row r="819" spans="1:14">
      <c r="A819" t="s">
        <v>1903</v>
      </c>
      <c r="B819" t="s">
        <v>1047</v>
      </c>
      <c r="C819" t="s">
        <v>1904</v>
      </c>
      <c r="D819" t="s">
        <v>26</v>
      </c>
      <c r="E819" t="s">
        <v>27</v>
      </c>
      <c r="F819" t="s">
        <v>70</v>
      </c>
      <c r="G819">
        <v>1</v>
      </c>
      <c r="H819">
        <v>7.06</v>
      </c>
      <c r="I819">
        <v>7.06</v>
      </c>
      <c r="J819">
        <v>4.58</v>
      </c>
      <c r="K819">
        <v>2.48</v>
      </c>
      <c r="L819" t="s">
        <v>20</v>
      </c>
      <c r="M819" t="s">
        <v>54</v>
      </c>
      <c r="N819" t="s">
        <v>79</v>
      </c>
    </row>
    <row r="820" spans="1:14">
      <c r="A820" t="s">
        <v>1905</v>
      </c>
      <c r="B820" t="s">
        <v>617</v>
      </c>
      <c r="C820" t="s">
        <v>1564</v>
      </c>
      <c r="D820" t="s">
        <v>52</v>
      </c>
      <c r="E820" t="s">
        <v>18</v>
      </c>
      <c r="F820" t="s">
        <v>41</v>
      </c>
      <c r="G820">
        <v>2</v>
      </c>
      <c r="H820">
        <v>5.37</v>
      </c>
      <c r="I820">
        <v>10.74</v>
      </c>
      <c r="J820">
        <v>5.95</v>
      </c>
      <c r="K820">
        <v>4.79</v>
      </c>
      <c r="L820" t="s">
        <v>36</v>
      </c>
      <c r="M820" t="s">
        <v>29</v>
      </c>
      <c r="N820" t="s">
        <v>287</v>
      </c>
    </row>
    <row r="821" spans="1:14">
      <c r="A821" t="s">
        <v>1906</v>
      </c>
      <c r="B821" t="s">
        <v>1227</v>
      </c>
      <c r="C821" t="s">
        <v>1907</v>
      </c>
      <c r="D821" t="s">
        <v>17</v>
      </c>
      <c r="E821" t="s">
        <v>18</v>
      </c>
      <c r="F821" t="s">
        <v>19</v>
      </c>
      <c r="G821">
        <v>4</v>
      </c>
      <c r="H821">
        <v>3.79</v>
      </c>
      <c r="I821">
        <v>15.16</v>
      </c>
      <c r="J821">
        <v>7.18</v>
      </c>
      <c r="K821">
        <v>7.98</v>
      </c>
      <c r="L821" t="s">
        <v>20</v>
      </c>
      <c r="M821" t="s">
        <v>21</v>
      </c>
      <c r="N821" t="s">
        <v>55</v>
      </c>
    </row>
    <row r="822" spans="1:14">
      <c r="A822" t="s">
        <v>1908</v>
      </c>
      <c r="B822" t="s">
        <v>614</v>
      </c>
      <c r="C822" t="s">
        <v>1909</v>
      </c>
      <c r="D822" t="s">
        <v>69</v>
      </c>
      <c r="E822" t="s">
        <v>27</v>
      </c>
      <c r="F822" t="s">
        <v>70</v>
      </c>
      <c r="G822">
        <v>3</v>
      </c>
      <c r="H822">
        <v>5.45</v>
      </c>
      <c r="I822">
        <v>16.35</v>
      </c>
      <c r="J822">
        <v>10.76</v>
      </c>
      <c r="K822">
        <v>5.59</v>
      </c>
      <c r="L822" t="s">
        <v>20</v>
      </c>
      <c r="M822" t="s">
        <v>29</v>
      </c>
      <c r="N822" t="s">
        <v>101</v>
      </c>
    </row>
    <row r="823" spans="1:14">
      <c r="A823" t="s">
        <v>1910</v>
      </c>
      <c r="B823" t="s">
        <v>1358</v>
      </c>
      <c r="C823" t="s">
        <v>1904</v>
      </c>
      <c r="D823" t="s">
        <v>46</v>
      </c>
      <c r="E823" t="s">
        <v>34</v>
      </c>
      <c r="F823" t="s">
        <v>47</v>
      </c>
      <c r="G823">
        <v>4</v>
      </c>
      <c r="H823">
        <v>6.21</v>
      </c>
      <c r="I823">
        <v>24.84</v>
      </c>
      <c r="J823">
        <v>12.98</v>
      </c>
      <c r="K823">
        <v>11.86</v>
      </c>
      <c r="L823" t="s">
        <v>53</v>
      </c>
      <c r="M823" t="s">
        <v>29</v>
      </c>
      <c r="N823" t="s">
        <v>599</v>
      </c>
    </row>
    <row r="824" spans="1:14">
      <c r="A824" t="s">
        <v>1911</v>
      </c>
      <c r="B824" t="s">
        <v>625</v>
      </c>
      <c r="C824" t="s">
        <v>1912</v>
      </c>
      <c r="D824" t="s">
        <v>17</v>
      </c>
      <c r="E824" t="s">
        <v>27</v>
      </c>
      <c r="F824" t="s">
        <v>28</v>
      </c>
      <c r="G824">
        <v>1</v>
      </c>
      <c r="H824">
        <v>3.6</v>
      </c>
      <c r="I824">
        <v>3.6</v>
      </c>
      <c r="J824">
        <v>1.92</v>
      </c>
      <c r="K824">
        <v>1.68</v>
      </c>
      <c r="L824" t="s">
        <v>60</v>
      </c>
      <c r="M824" t="s">
        <v>54</v>
      </c>
      <c r="N824" t="s">
        <v>1118</v>
      </c>
    </row>
    <row r="825" spans="1:14">
      <c r="A825" t="s">
        <v>1913</v>
      </c>
      <c r="B825" t="s">
        <v>1914</v>
      </c>
      <c r="C825" t="s">
        <v>1915</v>
      </c>
      <c r="D825" t="s">
        <v>52</v>
      </c>
      <c r="E825" t="s">
        <v>34</v>
      </c>
      <c r="F825" t="s">
        <v>47</v>
      </c>
      <c r="G825">
        <v>3</v>
      </c>
      <c r="H825">
        <v>7.32</v>
      </c>
      <c r="I825">
        <v>21.96</v>
      </c>
      <c r="J825">
        <v>12.17</v>
      </c>
      <c r="K825">
        <v>9.79</v>
      </c>
      <c r="L825" t="s">
        <v>20</v>
      </c>
      <c r="M825" t="s">
        <v>29</v>
      </c>
      <c r="N825" t="s">
        <v>155</v>
      </c>
    </row>
    <row r="826" spans="1:14">
      <c r="A826" t="s">
        <v>1916</v>
      </c>
      <c r="B826" t="s">
        <v>1917</v>
      </c>
      <c r="C826" t="s">
        <v>1918</v>
      </c>
      <c r="D826" t="s">
        <v>26</v>
      </c>
      <c r="E826" t="s">
        <v>74</v>
      </c>
      <c r="F826" t="s">
        <v>92</v>
      </c>
      <c r="G826">
        <v>4</v>
      </c>
      <c r="H826">
        <v>6.87</v>
      </c>
      <c r="I826">
        <v>27.48</v>
      </c>
      <c r="J826">
        <v>18.34</v>
      </c>
      <c r="K826">
        <v>9.14</v>
      </c>
      <c r="L826" t="s">
        <v>36</v>
      </c>
      <c r="M826" t="s">
        <v>54</v>
      </c>
      <c r="N826" t="s">
        <v>507</v>
      </c>
    </row>
    <row r="827" spans="1:14">
      <c r="A827" t="s">
        <v>1919</v>
      </c>
      <c r="B827" t="s">
        <v>475</v>
      </c>
      <c r="C827" t="s">
        <v>315</v>
      </c>
      <c r="D827" t="s">
        <v>26</v>
      </c>
      <c r="E827" t="s">
        <v>34</v>
      </c>
      <c r="F827" t="s">
        <v>47</v>
      </c>
      <c r="G827">
        <v>4</v>
      </c>
      <c r="H827">
        <v>5.43</v>
      </c>
      <c r="I827">
        <v>21.72</v>
      </c>
      <c r="J827">
        <v>10.82</v>
      </c>
      <c r="K827">
        <v>10.9</v>
      </c>
      <c r="L827" t="s">
        <v>60</v>
      </c>
      <c r="M827" t="s">
        <v>54</v>
      </c>
      <c r="N827" t="s">
        <v>48</v>
      </c>
    </row>
    <row r="828" spans="1:14">
      <c r="A828" t="s">
        <v>1920</v>
      </c>
      <c r="B828" t="s">
        <v>622</v>
      </c>
      <c r="C828" t="s">
        <v>1921</v>
      </c>
      <c r="D828" t="s">
        <v>69</v>
      </c>
      <c r="E828" t="s">
        <v>18</v>
      </c>
      <c r="F828" t="s">
        <v>146</v>
      </c>
      <c r="G828">
        <v>4</v>
      </c>
      <c r="H828">
        <v>2.95</v>
      </c>
      <c r="I828">
        <v>11.8</v>
      </c>
      <c r="J828">
        <v>8.2</v>
      </c>
      <c r="K828">
        <v>3.6</v>
      </c>
      <c r="L828" t="s">
        <v>60</v>
      </c>
      <c r="M828" t="s">
        <v>29</v>
      </c>
      <c r="N828" t="s">
        <v>287</v>
      </c>
    </row>
    <row r="829" spans="1:14">
      <c r="A829" t="s">
        <v>1922</v>
      </c>
      <c r="B829" t="s">
        <v>63</v>
      </c>
      <c r="C829" t="s">
        <v>1923</v>
      </c>
      <c r="D829" t="s">
        <v>46</v>
      </c>
      <c r="E829" t="s">
        <v>18</v>
      </c>
      <c r="F829" t="s">
        <v>41</v>
      </c>
      <c r="G829">
        <v>4</v>
      </c>
      <c r="H829">
        <v>5.44</v>
      </c>
      <c r="I829">
        <v>21.76</v>
      </c>
      <c r="J829">
        <v>11.2</v>
      </c>
      <c r="K829">
        <v>10.56</v>
      </c>
      <c r="L829" t="s">
        <v>53</v>
      </c>
      <c r="M829" t="s">
        <v>21</v>
      </c>
      <c r="N829" t="s">
        <v>431</v>
      </c>
    </row>
    <row r="830" spans="1:14">
      <c r="A830" t="s">
        <v>1924</v>
      </c>
      <c r="B830" t="s">
        <v>1925</v>
      </c>
      <c r="C830" t="s">
        <v>73</v>
      </c>
      <c r="D830" t="s">
        <v>69</v>
      </c>
      <c r="E830" t="s">
        <v>74</v>
      </c>
      <c r="F830" t="s">
        <v>92</v>
      </c>
      <c r="G830">
        <v>1</v>
      </c>
      <c r="H830">
        <v>5.61</v>
      </c>
      <c r="I830">
        <v>5.61</v>
      </c>
      <c r="J830">
        <v>3.23</v>
      </c>
      <c r="K830">
        <v>2.38</v>
      </c>
      <c r="L830" t="s">
        <v>53</v>
      </c>
      <c r="M830" t="s">
        <v>21</v>
      </c>
      <c r="N830" t="s">
        <v>230</v>
      </c>
    </row>
    <row r="831" spans="1:14">
      <c r="A831" t="s">
        <v>1926</v>
      </c>
      <c r="B831" t="s">
        <v>144</v>
      </c>
      <c r="C831" t="s">
        <v>400</v>
      </c>
      <c r="D831" t="s">
        <v>46</v>
      </c>
      <c r="E831" t="s">
        <v>34</v>
      </c>
      <c r="F831" t="s">
        <v>130</v>
      </c>
      <c r="G831">
        <v>5</v>
      </c>
      <c r="H831">
        <v>5.78</v>
      </c>
      <c r="I831">
        <v>28.9</v>
      </c>
      <c r="J831">
        <v>15.44</v>
      </c>
      <c r="K831">
        <v>13.46</v>
      </c>
      <c r="L831" t="s">
        <v>20</v>
      </c>
      <c r="M831" t="s">
        <v>54</v>
      </c>
      <c r="N831" t="s">
        <v>278</v>
      </c>
    </row>
    <row r="832" spans="1:14">
      <c r="A832" t="s">
        <v>1927</v>
      </c>
      <c r="B832" t="s">
        <v>1215</v>
      </c>
      <c r="C832" t="s">
        <v>1928</v>
      </c>
      <c r="D832" t="s">
        <v>46</v>
      </c>
      <c r="E832" t="s">
        <v>27</v>
      </c>
      <c r="F832" t="s">
        <v>70</v>
      </c>
      <c r="G832">
        <v>2</v>
      </c>
      <c r="H832">
        <v>7.06</v>
      </c>
      <c r="I832">
        <v>14.12</v>
      </c>
      <c r="J832">
        <v>7.86</v>
      </c>
      <c r="K832">
        <v>6.26</v>
      </c>
      <c r="L832" t="s">
        <v>53</v>
      </c>
      <c r="M832" t="s">
        <v>21</v>
      </c>
      <c r="N832" t="s">
        <v>118</v>
      </c>
    </row>
    <row r="833" spans="1:14">
      <c r="A833" t="s">
        <v>1929</v>
      </c>
      <c r="B833" t="s">
        <v>103</v>
      </c>
      <c r="C833" t="s">
        <v>1930</v>
      </c>
      <c r="D833" t="s">
        <v>46</v>
      </c>
      <c r="E833" t="s">
        <v>34</v>
      </c>
      <c r="F833" t="s">
        <v>35</v>
      </c>
      <c r="G833">
        <v>2</v>
      </c>
      <c r="H833">
        <v>5.51</v>
      </c>
      <c r="I833">
        <v>11.02</v>
      </c>
      <c r="J833">
        <v>7.46</v>
      </c>
      <c r="K833">
        <v>3.56</v>
      </c>
      <c r="L833" t="s">
        <v>20</v>
      </c>
      <c r="M833" t="s">
        <v>29</v>
      </c>
      <c r="N833" t="s">
        <v>42</v>
      </c>
    </row>
    <row r="834" spans="1:14">
      <c r="A834" t="s">
        <v>1931</v>
      </c>
      <c r="B834" t="s">
        <v>1917</v>
      </c>
      <c r="C834" t="s">
        <v>1932</v>
      </c>
      <c r="D834" t="s">
        <v>69</v>
      </c>
      <c r="E834" t="s">
        <v>18</v>
      </c>
      <c r="F834" t="s">
        <v>146</v>
      </c>
      <c r="G834">
        <v>4</v>
      </c>
      <c r="H834">
        <v>7.08</v>
      </c>
      <c r="I834">
        <v>28.32</v>
      </c>
      <c r="J834">
        <v>19.32</v>
      </c>
      <c r="K834">
        <v>9</v>
      </c>
      <c r="L834" t="s">
        <v>60</v>
      </c>
      <c r="M834" t="s">
        <v>54</v>
      </c>
      <c r="N834" t="s">
        <v>200</v>
      </c>
    </row>
    <row r="835" spans="1:14">
      <c r="A835" t="s">
        <v>1933</v>
      </c>
      <c r="B835" t="s">
        <v>945</v>
      </c>
      <c r="C835" t="s">
        <v>1934</v>
      </c>
      <c r="D835" t="s">
        <v>52</v>
      </c>
      <c r="E835" t="s">
        <v>74</v>
      </c>
      <c r="F835" t="s">
        <v>92</v>
      </c>
      <c r="G835">
        <v>2</v>
      </c>
      <c r="H835">
        <v>3.34</v>
      </c>
      <c r="I835">
        <v>6.68</v>
      </c>
      <c r="J835">
        <v>4.36</v>
      </c>
      <c r="K835">
        <v>2.32</v>
      </c>
      <c r="L835" t="s">
        <v>60</v>
      </c>
      <c r="M835" t="s">
        <v>29</v>
      </c>
      <c r="N835" t="s">
        <v>79</v>
      </c>
    </row>
    <row r="836" spans="1:14">
      <c r="A836" t="s">
        <v>1935</v>
      </c>
      <c r="B836" t="s">
        <v>1212</v>
      </c>
      <c r="C836" t="s">
        <v>1936</v>
      </c>
      <c r="D836" t="s">
        <v>46</v>
      </c>
      <c r="E836" t="s">
        <v>74</v>
      </c>
      <c r="F836" t="s">
        <v>75</v>
      </c>
      <c r="G836">
        <v>5</v>
      </c>
      <c r="H836">
        <v>5.89</v>
      </c>
      <c r="I836">
        <v>29.45</v>
      </c>
      <c r="J836">
        <v>19.13</v>
      </c>
      <c r="K836">
        <v>10.32</v>
      </c>
      <c r="L836" t="s">
        <v>53</v>
      </c>
      <c r="M836" t="s">
        <v>29</v>
      </c>
      <c r="N836" t="s">
        <v>131</v>
      </c>
    </row>
    <row r="837" spans="1:14">
      <c r="A837" t="s">
        <v>1937</v>
      </c>
      <c r="B837" t="s">
        <v>1437</v>
      </c>
      <c r="C837" t="s">
        <v>1256</v>
      </c>
      <c r="D837" t="s">
        <v>26</v>
      </c>
      <c r="E837" t="s">
        <v>74</v>
      </c>
      <c r="F837" t="s">
        <v>92</v>
      </c>
      <c r="G837">
        <v>5</v>
      </c>
      <c r="H837">
        <v>6.66</v>
      </c>
      <c r="I837">
        <v>33.3</v>
      </c>
      <c r="J837">
        <v>17.13</v>
      </c>
      <c r="K837">
        <v>16.17</v>
      </c>
      <c r="L837" t="s">
        <v>60</v>
      </c>
      <c r="M837" t="s">
        <v>21</v>
      </c>
      <c r="N837" t="s">
        <v>278</v>
      </c>
    </row>
    <row r="838" spans="1:14">
      <c r="A838" t="s">
        <v>1938</v>
      </c>
      <c r="B838" t="s">
        <v>1939</v>
      </c>
      <c r="C838" t="s">
        <v>1940</v>
      </c>
      <c r="D838" t="s">
        <v>46</v>
      </c>
      <c r="E838" t="s">
        <v>18</v>
      </c>
      <c r="F838" t="s">
        <v>146</v>
      </c>
      <c r="G838">
        <v>5</v>
      </c>
      <c r="H838">
        <v>3.92</v>
      </c>
      <c r="I838">
        <v>19.6</v>
      </c>
      <c r="J838">
        <v>11.58</v>
      </c>
      <c r="K838">
        <v>8.02</v>
      </c>
      <c r="L838" t="s">
        <v>60</v>
      </c>
      <c r="M838" t="s">
        <v>54</v>
      </c>
      <c r="N838" t="s">
        <v>401</v>
      </c>
    </row>
    <row r="839" spans="1:14">
      <c r="A839" t="s">
        <v>1941</v>
      </c>
      <c r="B839" t="s">
        <v>875</v>
      </c>
      <c r="C839" t="s">
        <v>430</v>
      </c>
      <c r="D839" t="s">
        <v>17</v>
      </c>
      <c r="E839" t="s">
        <v>18</v>
      </c>
      <c r="F839" t="s">
        <v>146</v>
      </c>
      <c r="G839">
        <v>1</v>
      </c>
      <c r="H839">
        <v>5.94</v>
      </c>
      <c r="I839">
        <v>5.94</v>
      </c>
      <c r="J839">
        <v>3.12</v>
      </c>
      <c r="K839">
        <v>2.82</v>
      </c>
      <c r="L839" t="s">
        <v>20</v>
      </c>
      <c r="M839" t="s">
        <v>54</v>
      </c>
      <c r="N839" t="s">
        <v>261</v>
      </c>
    </row>
    <row r="840" spans="1:14">
      <c r="A840" t="s">
        <v>1942</v>
      </c>
      <c r="B840" t="s">
        <v>845</v>
      </c>
      <c r="C840" t="s">
        <v>1943</v>
      </c>
      <c r="D840" t="s">
        <v>52</v>
      </c>
      <c r="E840" t="s">
        <v>27</v>
      </c>
      <c r="F840" t="s">
        <v>28</v>
      </c>
      <c r="G840">
        <v>3</v>
      </c>
      <c r="H840">
        <v>4.81</v>
      </c>
      <c r="I840">
        <v>14.43</v>
      </c>
      <c r="J840">
        <v>7.38</v>
      </c>
      <c r="K840">
        <v>7.05</v>
      </c>
      <c r="L840" t="s">
        <v>53</v>
      </c>
      <c r="M840" t="s">
        <v>54</v>
      </c>
      <c r="N840" t="s">
        <v>131</v>
      </c>
    </row>
    <row r="841" spans="1:14">
      <c r="A841" t="s">
        <v>1944</v>
      </c>
      <c r="B841" t="s">
        <v>1215</v>
      </c>
      <c r="C841" t="s">
        <v>1945</v>
      </c>
      <c r="D841" t="s">
        <v>46</v>
      </c>
      <c r="E841" t="s">
        <v>34</v>
      </c>
      <c r="F841" t="s">
        <v>135</v>
      </c>
      <c r="G841">
        <v>2</v>
      </c>
      <c r="H841">
        <v>3.79</v>
      </c>
      <c r="I841">
        <v>7.58</v>
      </c>
      <c r="J841">
        <v>5.12</v>
      </c>
      <c r="K841">
        <v>2.46</v>
      </c>
      <c r="L841" t="s">
        <v>53</v>
      </c>
      <c r="M841" t="s">
        <v>54</v>
      </c>
      <c r="N841" t="s">
        <v>550</v>
      </c>
    </row>
    <row r="842" spans="1:14">
      <c r="A842" t="s">
        <v>1946</v>
      </c>
      <c r="B842" t="s">
        <v>103</v>
      </c>
      <c r="C842" t="s">
        <v>1947</v>
      </c>
      <c r="D842" t="s">
        <v>52</v>
      </c>
      <c r="E842" t="s">
        <v>27</v>
      </c>
      <c r="F842" t="s">
        <v>125</v>
      </c>
      <c r="G842">
        <v>5</v>
      </c>
      <c r="H842">
        <v>4.01</v>
      </c>
      <c r="I842">
        <v>20.05</v>
      </c>
      <c r="J842">
        <v>10.76</v>
      </c>
      <c r="K842">
        <v>9.29</v>
      </c>
      <c r="L842" t="s">
        <v>36</v>
      </c>
      <c r="M842" t="s">
        <v>54</v>
      </c>
      <c r="N842" t="s">
        <v>466</v>
      </c>
    </row>
    <row r="843" spans="1:14">
      <c r="A843" t="s">
        <v>1948</v>
      </c>
      <c r="B843" t="s">
        <v>1358</v>
      </c>
      <c r="C843" t="s">
        <v>1949</v>
      </c>
      <c r="D843" t="s">
        <v>52</v>
      </c>
      <c r="E843" t="s">
        <v>27</v>
      </c>
      <c r="F843" t="s">
        <v>28</v>
      </c>
      <c r="G843">
        <v>1</v>
      </c>
      <c r="H843">
        <v>6.44</v>
      </c>
      <c r="I843">
        <v>6.44</v>
      </c>
      <c r="J843">
        <v>3.55</v>
      </c>
      <c r="K843">
        <v>2.89</v>
      </c>
      <c r="L843" t="s">
        <v>53</v>
      </c>
      <c r="M843" t="s">
        <v>21</v>
      </c>
      <c r="N843" t="s">
        <v>155</v>
      </c>
    </row>
    <row r="844" spans="1:14">
      <c r="A844" t="s">
        <v>1950</v>
      </c>
      <c r="B844" t="s">
        <v>389</v>
      </c>
      <c r="C844" t="s">
        <v>1951</v>
      </c>
      <c r="D844" t="s">
        <v>69</v>
      </c>
      <c r="E844" t="s">
        <v>34</v>
      </c>
      <c r="F844" t="s">
        <v>59</v>
      </c>
      <c r="G844">
        <v>2</v>
      </c>
      <c r="H844">
        <v>6.8</v>
      </c>
      <c r="I844">
        <v>13.6</v>
      </c>
      <c r="J844">
        <v>8.99</v>
      </c>
      <c r="K844">
        <v>4.61</v>
      </c>
      <c r="L844" t="s">
        <v>36</v>
      </c>
      <c r="M844" t="s">
        <v>54</v>
      </c>
      <c r="N844" t="s">
        <v>796</v>
      </c>
    </row>
    <row r="845" spans="1:14">
      <c r="A845" t="s">
        <v>1952</v>
      </c>
      <c r="B845" t="s">
        <v>1953</v>
      </c>
      <c r="C845" t="s">
        <v>1417</v>
      </c>
      <c r="D845" t="s">
        <v>52</v>
      </c>
      <c r="E845" t="s">
        <v>74</v>
      </c>
      <c r="F845" t="s">
        <v>83</v>
      </c>
      <c r="G845">
        <v>4</v>
      </c>
      <c r="H845">
        <v>7.81</v>
      </c>
      <c r="I845">
        <v>31.24</v>
      </c>
      <c r="J845">
        <v>20.39</v>
      </c>
      <c r="K845">
        <v>10.85</v>
      </c>
      <c r="L845" t="s">
        <v>53</v>
      </c>
      <c r="M845" t="s">
        <v>29</v>
      </c>
      <c r="N845" t="s">
        <v>88</v>
      </c>
    </row>
    <row r="846" spans="1:14">
      <c r="A846" t="s">
        <v>1954</v>
      </c>
      <c r="B846" t="s">
        <v>107</v>
      </c>
      <c r="C846" t="s">
        <v>1656</v>
      </c>
      <c r="D846" t="s">
        <v>26</v>
      </c>
      <c r="E846" t="s">
        <v>27</v>
      </c>
      <c r="F846" t="s">
        <v>28</v>
      </c>
      <c r="G846">
        <v>4</v>
      </c>
      <c r="H846">
        <v>5.1</v>
      </c>
      <c r="I846">
        <v>20.4</v>
      </c>
      <c r="J846">
        <v>13.21</v>
      </c>
      <c r="K846">
        <v>7.19</v>
      </c>
      <c r="L846" t="s">
        <v>53</v>
      </c>
      <c r="M846" t="s">
        <v>54</v>
      </c>
      <c r="N846" t="s">
        <v>783</v>
      </c>
    </row>
    <row r="847" spans="1:14">
      <c r="A847" t="s">
        <v>1955</v>
      </c>
      <c r="B847" t="s">
        <v>614</v>
      </c>
      <c r="C847" t="s">
        <v>1356</v>
      </c>
      <c r="D847" t="s">
        <v>46</v>
      </c>
      <c r="E847" t="s">
        <v>74</v>
      </c>
      <c r="F847" t="s">
        <v>92</v>
      </c>
      <c r="G847">
        <v>5</v>
      </c>
      <c r="H847">
        <v>6.72</v>
      </c>
      <c r="I847">
        <v>33.6</v>
      </c>
      <c r="J847">
        <v>15.99</v>
      </c>
      <c r="K847">
        <v>17.61</v>
      </c>
      <c r="L847" t="s">
        <v>53</v>
      </c>
      <c r="M847" t="s">
        <v>29</v>
      </c>
      <c r="N847" t="s">
        <v>187</v>
      </c>
    </row>
    <row r="848" spans="1:14">
      <c r="A848" t="s">
        <v>1956</v>
      </c>
      <c r="B848" t="s">
        <v>905</v>
      </c>
      <c r="C848" t="s">
        <v>1957</v>
      </c>
      <c r="D848" t="s">
        <v>52</v>
      </c>
      <c r="E848" t="s">
        <v>34</v>
      </c>
      <c r="F848" t="s">
        <v>35</v>
      </c>
      <c r="G848">
        <v>4</v>
      </c>
      <c r="H848">
        <v>4.32</v>
      </c>
      <c r="I848">
        <v>17.28</v>
      </c>
      <c r="J848">
        <v>10.67</v>
      </c>
      <c r="K848">
        <v>6.61</v>
      </c>
      <c r="L848" t="s">
        <v>36</v>
      </c>
      <c r="M848" t="s">
        <v>21</v>
      </c>
      <c r="N848" t="s">
        <v>55</v>
      </c>
    </row>
    <row r="849" spans="1:14">
      <c r="A849" t="s">
        <v>1958</v>
      </c>
      <c r="B849" t="s">
        <v>1645</v>
      </c>
      <c r="C849" t="s">
        <v>1959</v>
      </c>
      <c r="D849" t="s">
        <v>69</v>
      </c>
      <c r="E849" t="s">
        <v>27</v>
      </c>
      <c r="F849" t="s">
        <v>125</v>
      </c>
      <c r="G849">
        <v>2</v>
      </c>
      <c r="H849">
        <v>5.96</v>
      </c>
      <c r="I849">
        <v>11.92</v>
      </c>
      <c r="J849">
        <v>7.95</v>
      </c>
      <c r="K849">
        <v>3.97</v>
      </c>
      <c r="L849" t="s">
        <v>60</v>
      </c>
      <c r="M849" t="s">
        <v>54</v>
      </c>
      <c r="N849" t="s">
        <v>560</v>
      </c>
    </row>
    <row r="850" spans="1:14">
      <c r="A850" t="s">
        <v>1960</v>
      </c>
      <c r="B850" t="s">
        <v>1925</v>
      </c>
      <c r="C850" t="s">
        <v>1458</v>
      </c>
      <c r="D850" t="s">
        <v>46</v>
      </c>
      <c r="E850" t="s">
        <v>18</v>
      </c>
      <c r="F850" t="s">
        <v>146</v>
      </c>
      <c r="G850">
        <v>2</v>
      </c>
      <c r="H850">
        <v>4.31</v>
      </c>
      <c r="I850">
        <v>8.62</v>
      </c>
      <c r="J850">
        <v>4.16</v>
      </c>
      <c r="K850">
        <v>4.46</v>
      </c>
      <c r="L850" t="s">
        <v>36</v>
      </c>
      <c r="M850" t="s">
        <v>29</v>
      </c>
      <c r="N850" t="s">
        <v>105</v>
      </c>
    </row>
    <row r="851" spans="1:14">
      <c r="A851" t="s">
        <v>1961</v>
      </c>
      <c r="B851" t="s">
        <v>617</v>
      </c>
      <c r="C851" t="s">
        <v>843</v>
      </c>
      <c r="D851" t="s">
        <v>26</v>
      </c>
      <c r="E851" t="s">
        <v>34</v>
      </c>
      <c r="F851" t="s">
        <v>59</v>
      </c>
      <c r="G851">
        <v>2</v>
      </c>
      <c r="H851">
        <v>6.71</v>
      </c>
      <c r="I851">
        <v>13.42</v>
      </c>
      <c r="J851">
        <v>8.94</v>
      </c>
      <c r="K851">
        <v>4.48</v>
      </c>
      <c r="L851" t="s">
        <v>53</v>
      </c>
      <c r="M851" t="s">
        <v>29</v>
      </c>
      <c r="N851" t="s">
        <v>209</v>
      </c>
    </row>
    <row r="852" spans="1:14">
      <c r="A852" t="s">
        <v>1962</v>
      </c>
      <c r="B852" t="s">
        <v>333</v>
      </c>
      <c r="C852" t="s">
        <v>1963</v>
      </c>
      <c r="D852" t="s">
        <v>52</v>
      </c>
      <c r="E852" t="s">
        <v>34</v>
      </c>
      <c r="F852" t="s">
        <v>35</v>
      </c>
      <c r="G852">
        <v>4</v>
      </c>
      <c r="H852">
        <v>3.72</v>
      </c>
      <c r="I852">
        <v>14.88</v>
      </c>
      <c r="J852">
        <v>10.15</v>
      </c>
      <c r="K852">
        <v>4.73</v>
      </c>
      <c r="L852" t="s">
        <v>53</v>
      </c>
      <c r="M852" t="s">
        <v>54</v>
      </c>
      <c r="N852" t="s">
        <v>271</v>
      </c>
    </row>
    <row r="853" spans="1:14">
      <c r="A853" t="s">
        <v>1964</v>
      </c>
      <c r="B853" t="s">
        <v>520</v>
      </c>
      <c r="C853" t="s">
        <v>1965</v>
      </c>
      <c r="D853" t="s">
        <v>69</v>
      </c>
      <c r="E853" t="s">
        <v>18</v>
      </c>
      <c r="F853" t="s">
        <v>19</v>
      </c>
      <c r="G853">
        <v>4</v>
      </c>
      <c r="H853">
        <v>7.56</v>
      </c>
      <c r="I853">
        <v>30.24</v>
      </c>
      <c r="J853">
        <v>18.91</v>
      </c>
      <c r="K853">
        <v>11.33</v>
      </c>
      <c r="L853" t="s">
        <v>53</v>
      </c>
      <c r="M853" t="s">
        <v>54</v>
      </c>
      <c r="N853" t="s">
        <v>216</v>
      </c>
    </row>
    <row r="854" spans="1:14">
      <c r="A854" t="s">
        <v>1966</v>
      </c>
      <c r="B854" t="s">
        <v>576</v>
      </c>
      <c r="C854" t="s">
        <v>1051</v>
      </c>
      <c r="D854" t="s">
        <v>17</v>
      </c>
      <c r="E854" t="s">
        <v>74</v>
      </c>
      <c r="F854" t="s">
        <v>75</v>
      </c>
      <c r="G854">
        <v>3</v>
      </c>
      <c r="H854">
        <v>6.21</v>
      </c>
      <c r="I854">
        <v>18.63</v>
      </c>
      <c r="J854">
        <v>12.93</v>
      </c>
      <c r="K854">
        <v>5.7</v>
      </c>
      <c r="L854" t="s">
        <v>60</v>
      </c>
      <c r="M854" t="s">
        <v>21</v>
      </c>
      <c r="N854" t="s">
        <v>822</v>
      </c>
    </row>
    <row r="855" spans="1:14">
      <c r="A855" t="s">
        <v>1967</v>
      </c>
      <c r="B855" t="s">
        <v>1457</v>
      </c>
      <c r="C855" t="s">
        <v>1968</v>
      </c>
      <c r="D855" t="s">
        <v>17</v>
      </c>
      <c r="E855" t="s">
        <v>27</v>
      </c>
      <c r="F855" t="s">
        <v>70</v>
      </c>
      <c r="G855">
        <v>3</v>
      </c>
      <c r="H855">
        <v>5.71</v>
      </c>
      <c r="I855">
        <v>17.13</v>
      </c>
      <c r="J855">
        <v>8.22</v>
      </c>
      <c r="K855">
        <v>8.91</v>
      </c>
      <c r="L855" t="s">
        <v>53</v>
      </c>
      <c r="M855" t="s">
        <v>54</v>
      </c>
      <c r="N855" t="s">
        <v>796</v>
      </c>
    </row>
    <row r="856" spans="1:14">
      <c r="A856" t="s">
        <v>1969</v>
      </c>
      <c r="B856" t="s">
        <v>648</v>
      </c>
      <c r="C856" t="s">
        <v>1970</v>
      </c>
      <c r="D856" t="s">
        <v>26</v>
      </c>
      <c r="E856" t="s">
        <v>18</v>
      </c>
      <c r="F856" t="s">
        <v>19</v>
      </c>
      <c r="G856">
        <v>2</v>
      </c>
      <c r="H856">
        <v>5.3</v>
      </c>
      <c r="I856">
        <v>10.6</v>
      </c>
      <c r="J856">
        <v>5.29</v>
      </c>
      <c r="K856">
        <v>5.31</v>
      </c>
      <c r="L856" t="s">
        <v>53</v>
      </c>
      <c r="M856" t="s">
        <v>21</v>
      </c>
      <c r="N856" t="s">
        <v>451</v>
      </c>
    </row>
    <row r="857" spans="1:14">
      <c r="A857" t="s">
        <v>1971</v>
      </c>
      <c r="B857" t="s">
        <v>1972</v>
      </c>
      <c r="C857" t="s">
        <v>1907</v>
      </c>
      <c r="D857" t="s">
        <v>69</v>
      </c>
      <c r="E857" t="s">
        <v>74</v>
      </c>
      <c r="F857" t="s">
        <v>75</v>
      </c>
      <c r="G857">
        <v>2</v>
      </c>
      <c r="H857">
        <v>4.5</v>
      </c>
      <c r="I857">
        <v>9</v>
      </c>
      <c r="J857">
        <v>5.6</v>
      </c>
      <c r="K857">
        <v>3.4</v>
      </c>
      <c r="L857" t="s">
        <v>53</v>
      </c>
      <c r="M857" t="s">
        <v>29</v>
      </c>
      <c r="N857" t="s">
        <v>326</v>
      </c>
    </row>
    <row r="858" spans="1:14">
      <c r="A858" t="s">
        <v>1973</v>
      </c>
      <c r="B858" t="s">
        <v>1012</v>
      </c>
      <c r="C858" t="s">
        <v>1139</v>
      </c>
      <c r="D858" t="s">
        <v>46</v>
      </c>
      <c r="E858" t="s">
        <v>34</v>
      </c>
      <c r="F858" t="s">
        <v>135</v>
      </c>
      <c r="G858">
        <v>3</v>
      </c>
      <c r="H858">
        <v>5.49</v>
      </c>
      <c r="I858">
        <v>16.47</v>
      </c>
      <c r="J858">
        <v>7.67</v>
      </c>
      <c r="K858">
        <v>8.8</v>
      </c>
      <c r="L858" t="s">
        <v>20</v>
      </c>
      <c r="M858" t="s">
        <v>29</v>
      </c>
      <c r="N858" t="s">
        <v>42</v>
      </c>
    </row>
    <row r="859" spans="1:14">
      <c r="A859" t="s">
        <v>1974</v>
      </c>
      <c r="B859" t="s">
        <v>440</v>
      </c>
      <c r="C859" t="s">
        <v>1975</v>
      </c>
      <c r="D859" t="s">
        <v>69</v>
      </c>
      <c r="E859" t="s">
        <v>18</v>
      </c>
      <c r="F859" t="s">
        <v>146</v>
      </c>
      <c r="G859">
        <v>4</v>
      </c>
      <c r="H859">
        <v>3.43</v>
      </c>
      <c r="I859">
        <v>13.72</v>
      </c>
      <c r="J859">
        <v>7.6</v>
      </c>
      <c r="K859">
        <v>6.12</v>
      </c>
      <c r="L859" t="s">
        <v>36</v>
      </c>
      <c r="M859" t="s">
        <v>21</v>
      </c>
      <c r="N859" t="s">
        <v>483</v>
      </c>
    </row>
    <row r="860" spans="1:14">
      <c r="A860" t="s">
        <v>1976</v>
      </c>
      <c r="B860" t="s">
        <v>1977</v>
      </c>
      <c r="C860" t="s">
        <v>1978</v>
      </c>
      <c r="D860" t="s">
        <v>52</v>
      </c>
      <c r="E860" t="s">
        <v>34</v>
      </c>
      <c r="F860" t="s">
        <v>130</v>
      </c>
      <c r="G860">
        <v>2</v>
      </c>
      <c r="H860">
        <v>5</v>
      </c>
      <c r="I860">
        <v>10</v>
      </c>
      <c r="J860">
        <v>6.23</v>
      </c>
      <c r="K860">
        <v>3.77</v>
      </c>
      <c r="L860" t="s">
        <v>20</v>
      </c>
      <c r="M860" t="s">
        <v>54</v>
      </c>
      <c r="N860" t="s">
        <v>131</v>
      </c>
    </row>
    <row r="861" spans="1:14">
      <c r="A861" t="s">
        <v>1979</v>
      </c>
      <c r="B861" t="s">
        <v>1499</v>
      </c>
      <c r="C861" t="s">
        <v>1980</v>
      </c>
      <c r="D861" t="s">
        <v>46</v>
      </c>
      <c r="E861" t="s">
        <v>34</v>
      </c>
      <c r="F861" t="s">
        <v>130</v>
      </c>
      <c r="G861">
        <v>2</v>
      </c>
      <c r="H861">
        <v>7.46</v>
      </c>
      <c r="I861">
        <v>14.92</v>
      </c>
      <c r="J861">
        <v>8.26</v>
      </c>
      <c r="K861">
        <v>6.66</v>
      </c>
      <c r="L861" t="s">
        <v>20</v>
      </c>
      <c r="M861" t="s">
        <v>54</v>
      </c>
      <c r="N861" t="s">
        <v>88</v>
      </c>
    </row>
    <row r="862" spans="1:14">
      <c r="A862" t="s">
        <v>1981</v>
      </c>
      <c r="B862" t="s">
        <v>468</v>
      </c>
      <c r="C862" t="s">
        <v>1582</v>
      </c>
      <c r="D862" t="s">
        <v>46</v>
      </c>
      <c r="E862" t="s">
        <v>34</v>
      </c>
      <c r="F862" t="s">
        <v>47</v>
      </c>
      <c r="G862">
        <v>2</v>
      </c>
      <c r="H862">
        <v>4.12</v>
      </c>
      <c r="I862">
        <v>8.24</v>
      </c>
      <c r="J862">
        <v>5.29</v>
      </c>
      <c r="K862">
        <v>2.95</v>
      </c>
      <c r="L862" t="s">
        <v>20</v>
      </c>
      <c r="M862" t="s">
        <v>21</v>
      </c>
      <c r="N862" t="s">
        <v>862</v>
      </c>
    </row>
    <row r="863" spans="1:14">
      <c r="A863" t="s">
        <v>1982</v>
      </c>
      <c r="B863" t="s">
        <v>614</v>
      </c>
      <c r="C863" t="s">
        <v>1983</v>
      </c>
      <c r="D863" t="s">
        <v>46</v>
      </c>
      <c r="E863" t="s">
        <v>18</v>
      </c>
      <c r="F863" t="s">
        <v>41</v>
      </c>
      <c r="G863">
        <v>1</v>
      </c>
      <c r="H863">
        <v>7.85</v>
      </c>
      <c r="I863">
        <v>7.85</v>
      </c>
      <c r="J863">
        <v>5.47</v>
      </c>
      <c r="K863">
        <v>2.38</v>
      </c>
      <c r="L863" t="s">
        <v>20</v>
      </c>
      <c r="M863" t="s">
        <v>29</v>
      </c>
      <c r="N863" t="s">
        <v>230</v>
      </c>
    </row>
    <row r="864" spans="1:14">
      <c r="A864" t="s">
        <v>1984</v>
      </c>
      <c r="B864" t="s">
        <v>834</v>
      </c>
      <c r="C864" t="s">
        <v>1428</v>
      </c>
      <c r="D864" t="s">
        <v>69</v>
      </c>
      <c r="E864" t="s">
        <v>74</v>
      </c>
      <c r="F864" t="s">
        <v>75</v>
      </c>
      <c r="G864">
        <v>3</v>
      </c>
      <c r="H864">
        <v>4.7</v>
      </c>
      <c r="I864">
        <v>14.1</v>
      </c>
      <c r="J864">
        <v>8.77</v>
      </c>
      <c r="K864">
        <v>5.33</v>
      </c>
      <c r="L864" t="s">
        <v>53</v>
      </c>
      <c r="M864" t="s">
        <v>29</v>
      </c>
      <c r="N864" t="s">
        <v>271</v>
      </c>
    </row>
    <row r="865" spans="1:14">
      <c r="A865" t="s">
        <v>1985</v>
      </c>
      <c r="B865" t="s">
        <v>1791</v>
      </c>
      <c r="C865" t="s">
        <v>403</v>
      </c>
      <c r="D865" t="s">
        <v>52</v>
      </c>
      <c r="E865" t="s">
        <v>34</v>
      </c>
      <c r="F865" t="s">
        <v>135</v>
      </c>
      <c r="G865">
        <v>3</v>
      </c>
      <c r="H865">
        <v>3.12</v>
      </c>
      <c r="I865">
        <v>9.36</v>
      </c>
      <c r="J865">
        <v>4.27</v>
      </c>
      <c r="K865">
        <v>5.09</v>
      </c>
      <c r="L865" t="s">
        <v>60</v>
      </c>
      <c r="M865" t="s">
        <v>21</v>
      </c>
      <c r="N865" t="s">
        <v>84</v>
      </c>
    </row>
    <row r="866" spans="1:14">
      <c r="A866" t="s">
        <v>1986</v>
      </c>
      <c r="B866" t="s">
        <v>968</v>
      </c>
      <c r="C866" t="s">
        <v>1987</v>
      </c>
      <c r="D866" t="s">
        <v>69</v>
      </c>
      <c r="E866" t="s">
        <v>27</v>
      </c>
      <c r="F866" t="s">
        <v>169</v>
      </c>
      <c r="G866">
        <v>5</v>
      </c>
      <c r="H866">
        <v>5.29</v>
      </c>
      <c r="I866">
        <v>26.45</v>
      </c>
      <c r="J866">
        <v>17.27</v>
      </c>
      <c r="K866">
        <v>9.18</v>
      </c>
      <c r="L866" t="s">
        <v>36</v>
      </c>
      <c r="M866" t="s">
        <v>54</v>
      </c>
      <c r="N866" t="s">
        <v>431</v>
      </c>
    </row>
    <row r="867" spans="1:14">
      <c r="A867" t="s">
        <v>1988</v>
      </c>
      <c r="B867" t="s">
        <v>1037</v>
      </c>
      <c r="C867" t="s">
        <v>264</v>
      </c>
      <c r="D867" t="s">
        <v>52</v>
      </c>
      <c r="E867" t="s">
        <v>34</v>
      </c>
      <c r="F867" t="s">
        <v>35</v>
      </c>
      <c r="G867">
        <v>2</v>
      </c>
      <c r="H867">
        <v>6.75</v>
      </c>
      <c r="I867">
        <v>13.5</v>
      </c>
      <c r="J867">
        <v>8.97</v>
      </c>
      <c r="K867">
        <v>4.53</v>
      </c>
      <c r="L867" t="s">
        <v>20</v>
      </c>
      <c r="M867" t="s">
        <v>21</v>
      </c>
      <c r="N867" t="s">
        <v>93</v>
      </c>
    </row>
    <row r="868" spans="1:14">
      <c r="A868" t="s">
        <v>1989</v>
      </c>
      <c r="B868" t="s">
        <v>1324</v>
      </c>
      <c r="C868" t="s">
        <v>1990</v>
      </c>
      <c r="D868" t="s">
        <v>52</v>
      </c>
      <c r="E868" t="s">
        <v>27</v>
      </c>
      <c r="F868" t="s">
        <v>125</v>
      </c>
      <c r="G868">
        <v>4</v>
      </c>
      <c r="H868">
        <v>7.18</v>
      </c>
      <c r="I868">
        <v>28.72</v>
      </c>
      <c r="J868">
        <v>18.48</v>
      </c>
      <c r="K868">
        <v>10.24</v>
      </c>
      <c r="L868" t="s">
        <v>20</v>
      </c>
      <c r="M868" t="s">
        <v>29</v>
      </c>
      <c r="N868" t="s">
        <v>37</v>
      </c>
    </row>
    <row r="869" spans="1:14">
      <c r="A869" t="s">
        <v>1991</v>
      </c>
      <c r="B869" t="s">
        <v>144</v>
      </c>
      <c r="C869" t="s">
        <v>1992</v>
      </c>
      <c r="D869" t="s">
        <v>52</v>
      </c>
      <c r="E869" t="s">
        <v>18</v>
      </c>
      <c r="F869" t="s">
        <v>19</v>
      </c>
      <c r="G869">
        <v>5</v>
      </c>
      <c r="H869">
        <v>5.27</v>
      </c>
      <c r="I869">
        <v>26.35</v>
      </c>
      <c r="J869">
        <v>17.96</v>
      </c>
      <c r="K869">
        <v>8.39</v>
      </c>
      <c r="L869" t="s">
        <v>60</v>
      </c>
      <c r="M869" t="s">
        <v>54</v>
      </c>
      <c r="N869" t="s">
        <v>187</v>
      </c>
    </row>
    <row r="870" spans="1:14">
      <c r="A870" t="s">
        <v>1993</v>
      </c>
      <c r="B870" t="s">
        <v>1032</v>
      </c>
      <c r="C870" t="s">
        <v>1994</v>
      </c>
      <c r="D870" t="s">
        <v>46</v>
      </c>
      <c r="E870" t="s">
        <v>34</v>
      </c>
      <c r="F870" t="s">
        <v>47</v>
      </c>
      <c r="G870">
        <v>1</v>
      </c>
      <c r="H870">
        <v>4.75</v>
      </c>
      <c r="I870">
        <v>4.75</v>
      </c>
      <c r="J870">
        <v>2.14</v>
      </c>
      <c r="K870">
        <v>2.61</v>
      </c>
      <c r="L870" t="s">
        <v>20</v>
      </c>
      <c r="M870" t="s">
        <v>21</v>
      </c>
      <c r="N870" t="s">
        <v>209</v>
      </c>
    </row>
    <row r="871" spans="1:14">
      <c r="A871" t="s">
        <v>1995</v>
      </c>
      <c r="B871" t="s">
        <v>1243</v>
      </c>
      <c r="C871" t="s">
        <v>1996</v>
      </c>
      <c r="D871" t="s">
        <v>17</v>
      </c>
      <c r="E871" t="s">
        <v>18</v>
      </c>
      <c r="F871" t="s">
        <v>19</v>
      </c>
      <c r="G871">
        <v>3</v>
      </c>
      <c r="H871">
        <v>2.64</v>
      </c>
      <c r="I871">
        <v>7.92</v>
      </c>
      <c r="J871">
        <v>5.45</v>
      </c>
      <c r="K871">
        <v>2.47</v>
      </c>
      <c r="L871" t="s">
        <v>36</v>
      </c>
      <c r="M871" t="s">
        <v>54</v>
      </c>
      <c r="N871" t="s">
        <v>37</v>
      </c>
    </row>
    <row r="872" spans="1:14">
      <c r="A872" t="s">
        <v>1997</v>
      </c>
      <c r="B872" t="s">
        <v>601</v>
      </c>
      <c r="C872" t="s">
        <v>1662</v>
      </c>
      <c r="D872" t="s">
        <v>26</v>
      </c>
      <c r="E872" t="s">
        <v>27</v>
      </c>
      <c r="F872" t="s">
        <v>28</v>
      </c>
      <c r="G872">
        <v>3</v>
      </c>
      <c r="H872">
        <v>3.1</v>
      </c>
      <c r="I872">
        <v>9.3</v>
      </c>
      <c r="J872">
        <v>6.19</v>
      </c>
      <c r="K872">
        <v>3.11</v>
      </c>
      <c r="L872" t="s">
        <v>36</v>
      </c>
      <c r="M872" t="s">
        <v>29</v>
      </c>
      <c r="N872" t="s">
        <v>783</v>
      </c>
    </row>
    <row r="873" spans="1:14">
      <c r="A873" t="s">
        <v>1998</v>
      </c>
      <c r="B873" t="s">
        <v>523</v>
      </c>
      <c r="C873" t="s">
        <v>1963</v>
      </c>
      <c r="D873" t="s">
        <v>17</v>
      </c>
      <c r="E873" t="s">
        <v>74</v>
      </c>
      <c r="F873" t="s">
        <v>83</v>
      </c>
      <c r="G873">
        <v>3</v>
      </c>
      <c r="H873">
        <v>6.64</v>
      </c>
      <c r="I873">
        <v>19.92</v>
      </c>
      <c r="J873">
        <v>10.77</v>
      </c>
      <c r="K873">
        <v>9.15</v>
      </c>
      <c r="L873" t="s">
        <v>36</v>
      </c>
      <c r="M873" t="s">
        <v>21</v>
      </c>
      <c r="N873" t="s">
        <v>79</v>
      </c>
    </row>
    <row r="874" spans="1:14">
      <c r="A874" t="s">
        <v>1999</v>
      </c>
      <c r="B874" t="s">
        <v>57</v>
      </c>
      <c r="C874" t="s">
        <v>2000</v>
      </c>
      <c r="D874" t="s">
        <v>46</v>
      </c>
      <c r="E874" t="s">
        <v>27</v>
      </c>
      <c r="F874" t="s">
        <v>169</v>
      </c>
      <c r="G874">
        <v>4</v>
      </c>
      <c r="H874">
        <v>2.8</v>
      </c>
      <c r="I874">
        <v>11.2</v>
      </c>
      <c r="J874">
        <v>7</v>
      </c>
      <c r="K874">
        <v>4.2</v>
      </c>
      <c r="L874" t="s">
        <v>53</v>
      </c>
      <c r="M874" t="s">
        <v>21</v>
      </c>
      <c r="N874" t="s">
        <v>365</v>
      </c>
    </row>
    <row r="875" spans="1:14">
      <c r="A875" t="s">
        <v>2001</v>
      </c>
      <c r="B875" t="s">
        <v>1939</v>
      </c>
      <c r="C875" t="s">
        <v>2002</v>
      </c>
      <c r="D875" t="s">
        <v>26</v>
      </c>
      <c r="E875" t="s">
        <v>18</v>
      </c>
      <c r="F875" t="s">
        <v>19</v>
      </c>
      <c r="G875">
        <v>1</v>
      </c>
      <c r="H875">
        <v>7.8</v>
      </c>
      <c r="I875">
        <v>7.8</v>
      </c>
      <c r="J875">
        <v>5.44</v>
      </c>
      <c r="K875">
        <v>2.36</v>
      </c>
      <c r="L875" t="s">
        <v>36</v>
      </c>
      <c r="M875" t="s">
        <v>29</v>
      </c>
      <c r="N875" t="s">
        <v>896</v>
      </c>
    </row>
    <row r="876" spans="1:14">
      <c r="A876" t="s">
        <v>2003</v>
      </c>
      <c r="B876" t="s">
        <v>1457</v>
      </c>
      <c r="C876" t="s">
        <v>2004</v>
      </c>
      <c r="D876" t="s">
        <v>26</v>
      </c>
      <c r="E876" t="s">
        <v>18</v>
      </c>
      <c r="F876" t="s">
        <v>41</v>
      </c>
      <c r="G876">
        <v>3</v>
      </c>
      <c r="H876">
        <v>6.28</v>
      </c>
      <c r="I876">
        <v>18.84</v>
      </c>
      <c r="J876">
        <v>8.53</v>
      </c>
      <c r="K876">
        <v>10.31</v>
      </c>
      <c r="L876" t="s">
        <v>20</v>
      </c>
      <c r="M876" t="s">
        <v>21</v>
      </c>
      <c r="N876" t="s">
        <v>261</v>
      </c>
    </row>
    <row r="877" spans="1:14">
      <c r="A877" t="s">
        <v>2005</v>
      </c>
      <c r="B877" t="s">
        <v>120</v>
      </c>
      <c r="C877" t="s">
        <v>2006</v>
      </c>
      <c r="D877" t="s">
        <v>69</v>
      </c>
      <c r="E877" t="s">
        <v>27</v>
      </c>
      <c r="F877" t="s">
        <v>70</v>
      </c>
      <c r="G877">
        <v>2</v>
      </c>
      <c r="H877">
        <v>7.28</v>
      </c>
      <c r="I877">
        <v>14.56</v>
      </c>
      <c r="J877">
        <v>7.89</v>
      </c>
      <c r="K877">
        <v>6.67</v>
      </c>
      <c r="L877" t="s">
        <v>60</v>
      </c>
      <c r="M877" t="s">
        <v>54</v>
      </c>
      <c r="N877" t="s">
        <v>174</v>
      </c>
    </row>
    <row r="878" spans="1:14">
      <c r="A878" t="s">
        <v>2007</v>
      </c>
      <c r="B878" t="s">
        <v>870</v>
      </c>
      <c r="C878" t="s">
        <v>2008</v>
      </c>
      <c r="D878" t="s">
        <v>46</v>
      </c>
      <c r="E878" t="s">
        <v>34</v>
      </c>
      <c r="F878" t="s">
        <v>59</v>
      </c>
      <c r="G878">
        <v>4</v>
      </c>
      <c r="H878">
        <v>6.62</v>
      </c>
      <c r="I878">
        <v>26.48</v>
      </c>
      <c r="J878">
        <v>17.56</v>
      </c>
      <c r="K878">
        <v>8.92</v>
      </c>
      <c r="L878" t="s">
        <v>20</v>
      </c>
      <c r="M878" t="s">
        <v>29</v>
      </c>
      <c r="N878" t="s">
        <v>97</v>
      </c>
    </row>
    <row r="879" spans="1:14">
      <c r="A879" t="s">
        <v>2009</v>
      </c>
      <c r="B879" t="s">
        <v>1071</v>
      </c>
      <c r="C879" t="s">
        <v>2010</v>
      </c>
      <c r="D879" t="s">
        <v>26</v>
      </c>
      <c r="E879" t="s">
        <v>18</v>
      </c>
      <c r="F879" t="s">
        <v>41</v>
      </c>
      <c r="G879">
        <v>5</v>
      </c>
      <c r="H879">
        <v>5.95</v>
      </c>
      <c r="I879">
        <v>29.75</v>
      </c>
      <c r="J879">
        <v>20.69</v>
      </c>
      <c r="K879">
        <v>9.06</v>
      </c>
      <c r="L879" t="s">
        <v>20</v>
      </c>
      <c r="M879" t="s">
        <v>54</v>
      </c>
      <c r="N879" t="s">
        <v>234</v>
      </c>
    </row>
    <row r="880" spans="1:14">
      <c r="A880" t="s">
        <v>2011</v>
      </c>
      <c r="B880" t="s">
        <v>2012</v>
      </c>
      <c r="C880" t="s">
        <v>173</v>
      </c>
      <c r="D880" t="s">
        <v>52</v>
      </c>
      <c r="E880" t="s">
        <v>18</v>
      </c>
      <c r="F880" t="s">
        <v>146</v>
      </c>
      <c r="G880">
        <v>5</v>
      </c>
      <c r="H880">
        <v>5.41</v>
      </c>
      <c r="I880">
        <v>27.05</v>
      </c>
      <c r="J880">
        <v>13.21</v>
      </c>
      <c r="K880">
        <v>13.84</v>
      </c>
      <c r="L880" t="s">
        <v>20</v>
      </c>
      <c r="M880" t="s">
        <v>29</v>
      </c>
      <c r="N880" t="s">
        <v>574</v>
      </c>
    </row>
    <row r="881" spans="1:14">
      <c r="A881" t="s">
        <v>2013</v>
      </c>
      <c r="B881" t="s">
        <v>2014</v>
      </c>
      <c r="C881" t="s">
        <v>1731</v>
      </c>
      <c r="D881" t="s">
        <v>69</v>
      </c>
      <c r="E881" t="s">
        <v>34</v>
      </c>
      <c r="F881" t="s">
        <v>59</v>
      </c>
      <c r="G881">
        <v>3</v>
      </c>
      <c r="H881">
        <v>5.49</v>
      </c>
      <c r="I881">
        <v>16.47</v>
      </c>
      <c r="J881">
        <v>9.82</v>
      </c>
      <c r="K881">
        <v>6.65</v>
      </c>
      <c r="L881" t="s">
        <v>60</v>
      </c>
      <c r="M881" t="s">
        <v>21</v>
      </c>
      <c r="N881" t="s">
        <v>410</v>
      </c>
    </row>
    <row r="882" spans="1:14">
      <c r="A882" t="s">
        <v>2015</v>
      </c>
      <c r="B882" t="s">
        <v>867</v>
      </c>
      <c r="C882" t="s">
        <v>1422</v>
      </c>
      <c r="D882" t="s">
        <v>52</v>
      </c>
      <c r="E882" t="s">
        <v>18</v>
      </c>
      <c r="F882" t="s">
        <v>19</v>
      </c>
      <c r="G882">
        <v>4</v>
      </c>
      <c r="H882">
        <v>6.04</v>
      </c>
      <c r="I882">
        <v>24.16</v>
      </c>
      <c r="J882">
        <v>15.12</v>
      </c>
      <c r="K882">
        <v>9.04</v>
      </c>
      <c r="L882" t="s">
        <v>60</v>
      </c>
      <c r="M882" t="s">
        <v>54</v>
      </c>
      <c r="N882" t="s">
        <v>397</v>
      </c>
    </row>
    <row r="883" spans="1:14">
      <c r="A883" t="s">
        <v>2016</v>
      </c>
      <c r="B883" t="s">
        <v>415</v>
      </c>
      <c r="C883" t="s">
        <v>763</v>
      </c>
      <c r="D883" t="s">
        <v>17</v>
      </c>
      <c r="E883" t="s">
        <v>34</v>
      </c>
      <c r="F883" t="s">
        <v>47</v>
      </c>
      <c r="G883">
        <v>2</v>
      </c>
      <c r="H883">
        <v>3</v>
      </c>
      <c r="I883">
        <v>6</v>
      </c>
      <c r="J883">
        <v>3.85</v>
      </c>
      <c r="K883">
        <v>2.15</v>
      </c>
      <c r="L883" t="s">
        <v>53</v>
      </c>
      <c r="M883" t="s">
        <v>29</v>
      </c>
      <c r="N883" t="s">
        <v>238</v>
      </c>
    </row>
    <row r="884" spans="1:14">
      <c r="A884" t="s">
        <v>2017</v>
      </c>
      <c r="B884" t="s">
        <v>1029</v>
      </c>
      <c r="C884" t="s">
        <v>358</v>
      </c>
      <c r="D884" t="s">
        <v>46</v>
      </c>
      <c r="E884" t="s">
        <v>34</v>
      </c>
      <c r="F884" t="s">
        <v>59</v>
      </c>
      <c r="G884">
        <v>5</v>
      </c>
      <c r="H884">
        <v>6.01</v>
      </c>
      <c r="I884">
        <v>30.05</v>
      </c>
      <c r="J884">
        <v>16.73</v>
      </c>
      <c r="K884">
        <v>13.32</v>
      </c>
      <c r="L884" t="s">
        <v>20</v>
      </c>
      <c r="M884" t="s">
        <v>29</v>
      </c>
      <c r="N884" t="s">
        <v>230</v>
      </c>
    </row>
    <row r="885" spans="1:14">
      <c r="A885" t="s">
        <v>2018</v>
      </c>
      <c r="B885" t="s">
        <v>1265</v>
      </c>
      <c r="C885" t="s">
        <v>2019</v>
      </c>
      <c r="D885" t="s">
        <v>69</v>
      </c>
      <c r="E885" t="s">
        <v>27</v>
      </c>
      <c r="F885" t="s">
        <v>125</v>
      </c>
      <c r="G885">
        <v>4</v>
      </c>
      <c r="H885">
        <v>5.54</v>
      </c>
      <c r="I885">
        <v>22.16</v>
      </c>
      <c r="J885">
        <v>11.27</v>
      </c>
      <c r="K885">
        <v>10.89</v>
      </c>
      <c r="L885" t="s">
        <v>60</v>
      </c>
      <c r="M885" t="s">
        <v>29</v>
      </c>
      <c r="N885" t="s">
        <v>431</v>
      </c>
    </row>
    <row r="886" spans="1:14">
      <c r="A886" t="s">
        <v>2020</v>
      </c>
      <c r="B886" t="s">
        <v>1768</v>
      </c>
      <c r="C886" t="s">
        <v>2021</v>
      </c>
      <c r="D886" t="s">
        <v>17</v>
      </c>
      <c r="E886" t="s">
        <v>27</v>
      </c>
      <c r="F886" t="s">
        <v>28</v>
      </c>
      <c r="G886">
        <v>3</v>
      </c>
      <c r="H886">
        <v>4.98</v>
      </c>
      <c r="I886">
        <v>14.94</v>
      </c>
      <c r="J886">
        <v>7.79</v>
      </c>
      <c r="K886">
        <v>7.15</v>
      </c>
      <c r="L886" t="s">
        <v>36</v>
      </c>
      <c r="M886" t="s">
        <v>29</v>
      </c>
      <c r="N886" t="s">
        <v>238</v>
      </c>
    </row>
    <row r="887" spans="1:14">
      <c r="A887" t="s">
        <v>2022</v>
      </c>
      <c r="B887" t="s">
        <v>713</v>
      </c>
      <c r="C887" t="s">
        <v>1654</v>
      </c>
      <c r="D887" t="s">
        <v>26</v>
      </c>
      <c r="E887" t="s">
        <v>74</v>
      </c>
      <c r="F887" t="s">
        <v>75</v>
      </c>
      <c r="G887">
        <v>5</v>
      </c>
      <c r="H887">
        <v>6.41</v>
      </c>
      <c r="I887">
        <v>32.05</v>
      </c>
      <c r="J887">
        <v>15.84</v>
      </c>
      <c r="K887">
        <v>16.21</v>
      </c>
      <c r="L887" t="s">
        <v>53</v>
      </c>
      <c r="M887" t="s">
        <v>29</v>
      </c>
      <c r="N887" t="s">
        <v>322</v>
      </c>
    </row>
    <row r="888" spans="1:14">
      <c r="A888" t="s">
        <v>2023</v>
      </c>
      <c r="B888" t="s">
        <v>664</v>
      </c>
      <c r="C888" t="s">
        <v>2024</v>
      </c>
      <c r="D888" t="s">
        <v>17</v>
      </c>
      <c r="E888" t="s">
        <v>34</v>
      </c>
      <c r="F888" t="s">
        <v>130</v>
      </c>
      <c r="G888">
        <v>5</v>
      </c>
      <c r="H888">
        <v>5.65</v>
      </c>
      <c r="I888">
        <v>28.25</v>
      </c>
      <c r="J888">
        <v>19.12</v>
      </c>
      <c r="K888">
        <v>9.13</v>
      </c>
      <c r="L888" t="s">
        <v>36</v>
      </c>
      <c r="M888" t="s">
        <v>21</v>
      </c>
      <c r="N888" t="s">
        <v>174</v>
      </c>
    </row>
    <row r="889" spans="1:14">
      <c r="A889" t="s">
        <v>2025</v>
      </c>
      <c r="B889" t="s">
        <v>622</v>
      </c>
      <c r="C889" t="s">
        <v>1684</v>
      </c>
      <c r="D889" t="s">
        <v>17</v>
      </c>
      <c r="E889" t="s">
        <v>34</v>
      </c>
      <c r="F889" t="s">
        <v>130</v>
      </c>
      <c r="G889">
        <v>3</v>
      </c>
      <c r="H889">
        <v>6.87</v>
      </c>
      <c r="I889">
        <v>20.61</v>
      </c>
      <c r="J889">
        <v>12.86</v>
      </c>
      <c r="K889">
        <v>7.75</v>
      </c>
      <c r="L889" t="s">
        <v>36</v>
      </c>
      <c r="M889" t="s">
        <v>54</v>
      </c>
      <c r="N889" t="s">
        <v>111</v>
      </c>
    </row>
    <row r="890" spans="1:14">
      <c r="A890" t="s">
        <v>2026</v>
      </c>
      <c r="B890" t="s">
        <v>885</v>
      </c>
      <c r="C890" t="s">
        <v>2027</v>
      </c>
      <c r="D890" t="s">
        <v>17</v>
      </c>
      <c r="E890" t="s">
        <v>27</v>
      </c>
      <c r="F890" t="s">
        <v>28</v>
      </c>
      <c r="G890">
        <v>1</v>
      </c>
      <c r="H890">
        <v>4.72</v>
      </c>
      <c r="I890">
        <v>4.72</v>
      </c>
      <c r="J890">
        <v>2.96</v>
      </c>
      <c r="K890">
        <v>1.76</v>
      </c>
      <c r="L890" t="s">
        <v>60</v>
      </c>
      <c r="M890" t="s">
        <v>29</v>
      </c>
      <c r="N890" t="s">
        <v>303</v>
      </c>
    </row>
    <row r="891" spans="1:14">
      <c r="A891" t="s">
        <v>2028</v>
      </c>
      <c r="B891" t="s">
        <v>392</v>
      </c>
      <c r="C891" t="s">
        <v>2029</v>
      </c>
      <c r="D891" t="s">
        <v>46</v>
      </c>
      <c r="E891" t="s">
        <v>34</v>
      </c>
      <c r="F891" t="s">
        <v>130</v>
      </c>
      <c r="G891">
        <v>2</v>
      </c>
      <c r="H891">
        <v>7.16</v>
      </c>
      <c r="I891">
        <v>14.32</v>
      </c>
      <c r="J891">
        <v>7.14</v>
      </c>
      <c r="K891">
        <v>7.18</v>
      </c>
      <c r="L891" t="s">
        <v>36</v>
      </c>
      <c r="M891" t="s">
        <v>29</v>
      </c>
      <c r="N891" t="s">
        <v>287</v>
      </c>
    </row>
    <row r="892" spans="1:14">
      <c r="A892" t="s">
        <v>2030</v>
      </c>
      <c r="B892" t="s">
        <v>324</v>
      </c>
      <c r="C892" t="s">
        <v>2031</v>
      </c>
      <c r="D892" t="s">
        <v>69</v>
      </c>
      <c r="E892" t="s">
        <v>27</v>
      </c>
      <c r="F892" t="s">
        <v>70</v>
      </c>
      <c r="G892">
        <v>3</v>
      </c>
      <c r="H892">
        <v>3.91</v>
      </c>
      <c r="I892">
        <v>11.73</v>
      </c>
      <c r="J892">
        <v>6.33</v>
      </c>
      <c r="K892">
        <v>5.4</v>
      </c>
      <c r="L892" t="s">
        <v>36</v>
      </c>
      <c r="M892" t="s">
        <v>29</v>
      </c>
      <c r="N892" t="s">
        <v>285</v>
      </c>
    </row>
    <row r="893" spans="1:14">
      <c r="A893" t="s">
        <v>2032</v>
      </c>
      <c r="B893" t="s">
        <v>247</v>
      </c>
      <c r="C893" t="s">
        <v>2033</v>
      </c>
      <c r="D893" t="s">
        <v>26</v>
      </c>
      <c r="E893" t="s">
        <v>34</v>
      </c>
      <c r="F893" t="s">
        <v>47</v>
      </c>
      <c r="G893">
        <v>3</v>
      </c>
      <c r="H893">
        <v>5.84</v>
      </c>
      <c r="I893">
        <v>17.52</v>
      </c>
      <c r="J893">
        <v>11.4</v>
      </c>
      <c r="K893">
        <v>6.12</v>
      </c>
      <c r="L893" t="s">
        <v>36</v>
      </c>
      <c r="M893" t="s">
        <v>21</v>
      </c>
      <c r="N893" t="s">
        <v>278</v>
      </c>
    </row>
    <row r="894" spans="1:14">
      <c r="A894" t="s">
        <v>2034</v>
      </c>
      <c r="B894" t="s">
        <v>1511</v>
      </c>
      <c r="C894" t="s">
        <v>2035</v>
      </c>
      <c r="D894" t="s">
        <v>26</v>
      </c>
      <c r="E894" t="s">
        <v>27</v>
      </c>
      <c r="F894" t="s">
        <v>169</v>
      </c>
      <c r="G894">
        <v>3</v>
      </c>
      <c r="H894">
        <v>6.51</v>
      </c>
      <c r="I894">
        <v>19.53</v>
      </c>
      <c r="J894">
        <v>8.97</v>
      </c>
      <c r="K894">
        <v>10.56</v>
      </c>
      <c r="L894" t="s">
        <v>36</v>
      </c>
      <c r="M894" t="s">
        <v>21</v>
      </c>
      <c r="N894" t="s">
        <v>970</v>
      </c>
    </row>
    <row r="895" spans="1:14">
      <c r="A895" t="s">
        <v>2036</v>
      </c>
      <c r="B895" t="s">
        <v>523</v>
      </c>
      <c r="C895" t="s">
        <v>2037</v>
      </c>
      <c r="D895" t="s">
        <v>46</v>
      </c>
      <c r="E895" t="s">
        <v>34</v>
      </c>
      <c r="F895" t="s">
        <v>59</v>
      </c>
      <c r="G895">
        <v>2</v>
      </c>
      <c r="H895">
        <v>2.51</v>
      </c>
      <c r="I895">
        <v>5.02</v>
      </c>
      <c r="J895">
        <v>3.38</v>
      </c>
      <c r="K895">
        <v>1.64</v>
      </c>
      <c r="L895" t="s">
        <v>60</v>
      </c>
      <c r="M895" t="s">
        <v>21</v>
      </c>
      <c r="N895" t="s">
        <v>497</v>
      </c>
    </row>
    <row r="896" spans="1:14">
      <c r="A896" t="s">
        <v>2038</v>
      </c>
      <c r="B896" t="s">
        <v>433</v>
      </c>
      <c r="C896" t="s">
        <v>2039</v>
      </c>
      <c r="D896" t="s">
        <v>17</v>
      </c>
      <c r="E896" t="s">
        <v>34</v>
      </c>
      <c r="F896" t="s">
        <v>35</v>
      </c>
      <c r="G896">
        <v>2</v>
      </c>
      <c r="H896">
        <v>7.55</v>
      </c>
      <c r="I896">
        <v>15.1</v>
      </c>
      <c r="J896">
        <v>10.28</v>
      </c>
      <c r="K896">
        <v>4.82</v>
      </c>
      <c r="L896" t="s">
        <v>20</v>
      </c>
      <c r="M896" t="s">
        <v>29</v>
      </c>
      <c r="N896" t="s">
        <v>796</v>
      </c>
    </row>
    <row r="897" spans="1:14">
      <c r="A897" t="s">
        <v>2040</v>
      </c>
      <c r="B897" t="s">
        <v>1265</v>
      </c>
      <c r="C897" t="s">
        <v>2000</v>
      </c>
      <c r="D897" t="s">
        <v>69</v>
      </c>
      <c r="E897" t="s">
        <v>74</v>
      </c>
      <c r="F897" t="s">
        <v>83</v>
      </c>
      <c r="G897">
        <v>5</v>
      </c>
      <c r="H897">
        <v>4.47</v>
      </c>
      <c r="I897">
        <v>22.35</v>
      </c>
      <c r="J897">
        <v>14.19</v>
      </c>
      <c r="K897">
        <v>8.16</v>
      </c>
      <c r="L897" t="s">
        <v>60</v>
      </c>
      <c r="M897" t="s">
        <v>21</v>
      </c>
      <c r="N897" t="s">
        <v>381</v>
      </c>
    </row>
    <row r="898" spans="1:14">
      <c r="A898" t="s">
        <v>2041</v>
      </c>
      <c r="B898" t="s">
        <v>528</v>
      </c>
      <c r="C898" t="s">
        <v>1723</v>
      </c>
      <c r="D898" t="s">
        <v>52</v>
      </c>
      <c r="E898" t="s">
        <v>34</v>
      </c>
      <c r="F898" t="s">
        <v>59</v>
      </c>
      <c r="G898">
        <v>2</v>
      </c>
      <c r="H898">
        <v>7.58</v>
      </c>
      <c r="I898">
        <v>15.16</v>
      </c>
      <c r="J898">
        <v>8.78</v>
      </c>
      <c r="K898">
        <v>6.38</v>
      </c>
      <c r="L898" t="s">
        <v>36</v>
      </c>
      <c r="M898" t="s">
        <v>29</v>
      </c>
      <c r="N898" t="s">
        <v>261</v>
      </c>
    </row>
    <row r="899" spans="1:14">
      <c r="A899" t="s">
        <v>2042</v>
      </c>
      <c r="B899" t="s">
        <v>2043</v>
      </c>
      <c r="C899" t="s">
        <v>1940</v>
      </c>
      <c r="D899" t="s">
        <v>52</v>
      </c>
      <c r="E899" t="s">
        <v>74</v>
      </c>
      <c r="F899" t="s">
        <v>75</v>
      </c>
      <c r="G899">
        <v>3</v>
      </c>
      <c r="H899">
        <v>7.67</v>
      </c>
      <c r="I899">
        <v>23.01</v>
      </c>
      <c r="J899">
        <v>12.34</v>
      </c>
      <c r="K899">
        <v>10.67</v>
      </c>
      <c r="L899" t="s">
        <v>20</v>
      </c>
      <c r="M899" t="s">
        <v>29</v>
      </c>
      <c r="N899" t="s">
        <v>1351</v>
      </c>
    </row>
    <row r="900" spans="1:14">
      <c r="A900" t="s">
        <v>2044</v>
      </c>
      <c r="B900" t="s">
        <v>225</v>
      </c>
      <c r="C900" t="s">
        <v>1983</v>
      </c>
      <c r="D900" t="s">
        <v>69</v>
      </c>
      <c r="E900" t="s">
        <v>74</v>
      </c>
      <c r="F900" t="s">
        <v>92</v>
      </c>
      <c r="G900">
        <v>4</v>
      </c>
      <c r="H900">
        <v>4.53</v>
      </c>
      <c r="I900">
        <v>18.12</v>
      </c>
      <c r="J900">
        <v>12.1</v>
      </c>
      <c r="K900">
        <v>6.02</v>
      </c>
      <c r="L900" t="s">
        <v>20</v>
      </c>
      <c r="M900" t="s">
        <v>29</v>
      </c>
      <c r="N900" t="s">
        <v>507</v>
      </c>
    </row>
    <row r="901" spans="1:14">
      <c r="A901" t="s">
        <v>2045</v>
      </c>
      <c r="B901" t="s">
        <v>308</v>
      </c>
      <c r="C901" t="s">
        <v>2046</v>
      </c>
      <c r="D901" t="s">
        <v>69</v>
      </c>
      <c r="E901" t="s">
        <v>34</v>
      </c>
      <c r="F901" t="s">
        <v>59</v>
      </c>
      <c r="G901">
        <v>4</v>
      </c>
      <c r="H901">
        <v>2.74</v>
      </c>
      <c r="I901">
        <v>10.96</v>
      </c>
      <c r="J901">
        <v>7.56</v>
      </c>
      <c r="K901">
        <v>3.4</v>
      </c>
      <c r="L901" t="s">
        <v>20</v>
      </c>
      <c r="M901" t="s">
        <v>21</v>
      </c>
      <c r="N901" t="s">
        <v>93</v>
      </c>
    </row>
    <row r="902" spans="1:14">
      <c r="A902" t="s">
        <v>2047</v>
      </c>
      <c r="B902" t="s">
        <v>820</v>
      </c>
      <c r="C902" t="s">
        <v>2048</v>
      </c>
      <c r="D902" t="s">
        <v>46</v>
      </c>
      <c r="E902" t="s">
        <v>27</v>
      </c>
      <c r="F902" t="s">
        <v>125</v>
      </c>
      <c r="G902">
        <v>2</v>
      </c>
      <c r="H902">
        <v>3.5</v>
      </c>
      <c r="I902">
        <v>7</v>
      </c>
      <c r="J902">
        <v>4.21</v>
      </c>
      <c r="K902">
        <v>2.79</v>
      </c>
      <c r="L902" t="s">
        <v>36</v>
      </c>
      <c r="M902" t="s">
        <v>29</v>
      </c>
      <c r="N902" t="s">
        <v>970</v>
      </c>
    </row>
    <row r="903" spans="1:14">
      <c r="A903" t="s">
        <v>2049</v>
      </c>
      <c r="B903" t="s">
        <v>408</v>
      </c>
      <c r="C903" t="s">
        <v>1432</v>
      </c>
      <c r="D903" t="s">
        <v>46</v>
      </c>
      <c r="E903" t="s">
        <v>18</v>
      </c>
      <c r="F903" t="s">
        <v>19</v>
      </c>
      <c r="G903">
        <v>3</v>
      </c>
      <c r="H903">
        <v>6.42</v>
      </c>
      <c r="I903">
        <v>19.26</v>
      </c>
      <c r="J903">
        <v>9.76</v>
      </c>
      <c r="K903">
        <v>9.5</v>
      </c>
      <c r="L903" t="s">
        <v>20</v>
      </c>
      <c r="M903" t="s">
        <v>29</v>
      </c>
      <c r="N903" t="s">
        <v>126</v>
      </c>
    </row>
    <row r="904" spans="1:14">
      <c r="A904" t="s">
        <v>2050</v>
      </c>
      <c r="B904" t="s">
        <v>760</v>
      </c>
      <c r="C904" t="s">
        <v>2051</v>
      </c>
      <c r="D904" t="s">
        <v>52</v>
      </c>
      <c r="E904" t="s">
        <v>18</v>
      </c>
      <c r="F904" t="s">
        <v>19</v>
      </c>
      <c r="G904">
        <v>2</v>
      </c>
      <c r="H904">
        <v>2.69</v>
      </c>
      <c r="I904">
        <v>5.38</v>
      </c>
      <c r="J904">
        <v>3.28</v>
      </c>
      <c r="K904">
        <v>2.1</v>
      </c>
      <c r="L904" t="s">
        <v>36</v>
      </c>
      <c r="M904" t="s">
        <v>21</v>
      </c>
      <c r="N904" t="s">
        <v>1351</v>
      </c>
    </row>
    <row r="905" spans="1:14">
      <c r="A905" t="s">
        <v>2052</v>
      </c>
      <c r="B905" t="s">
        <v>597</v>
      </c>
      <c r="C905" t="s">
        <v>2053</v>
      </c>
      <c r="D905" t="s">
        <v>17</v>
      </c>
      <c r="E905" t="s">
        <v>27</v>
      </c>
      <c r="F905" t="s">
        <v>70</v>
      </c>
      <c r="G905">
        <v>1</v>
      </c>
      <c r="H905">
        <v>6.21</v>
      </c>
      <c r="I905">
        <v>6.21</v>
      </c>
      <c r="J905">
        <v>3.04</v>
      </c>
      <c r="K905">
        <v>3.17</v>
      </c>
      <c r="L905" t="s">
        <v>53</v>
      </c>
      <c r="M905" t="s">
        <v>21</v>
      </c>
      <c r="N905" t="s">
        <v>177</v>
      </c>
    </row>
    <row r="906" spans="1:14">
      <c r="A906" t="s">
        <v>2054</v>
      </c>
      <c r="B906" t="s">
        <v>576</v>
      </c>
      <c r="C906" t="s">
        <v>2055</v>
      </c>
      <c r="D906" t="s">
        <v>46</v>
      </c>
      <c r="E906" t="s">
        <v>27</v>
      </c>
      <c r="F906" t="s">
        <v>28</v>
      </c>
      <c r="G906">
        <v>3</v>
      </c>
      <c r="H906">
        <v>5.78</v>
      </c>
      <c r="I906">
        <v>17.34</v>
      </c>
      <c r="J906">
        <v>8.56</v>
      </c>
      <c r="K906">
        <v>8.78</v>
      </c>
      <c r="L906" t="s">
        <v>53</v>
      </c>
      <c r="M906" t="s">
        <v>54</v>
      </c>
      <c r="N906" t="s">
        <v>97</v>
      </c>
    </row>
    <row r="907" spans="1:14">
      <c r="A907" t="s">
        <v>2056</v>
      </c>
      <c r="B907" t="s">
        <v>2057</v>
      </c>
      <c r="C907" t="s">
        <v>1918</v>
      </c>
      <c r="D907" t="s">
        <v>46</v>
      </c>
      <c r="E907" t="s">
        <v>34</v>
      </c>
      <c r="F907" t="s">
        <v>130</v>
      </c>
      <c r="G907">
        <v>5</v>
      </c>
      <c r="H907">
        <v>7.72</v>
      </c>
      <c r="I907">
        <v>38.6</v>
      </c>
      <c r="J907">
        <v>18.27</v>
      </c>
      <c r="K907">
        <v>20.33</v>
      </c>
      <c r="L907" t="s">
        <v>36</v>
      </c>
      <c r="M907" t="s">
        <v>21</v>
      </c>
      <c r="N907" t="s">
        <v>155</v>
      </c>
    </row>
    <row r="908" spans="1:14">
      <c r="A908" t="s">
        <v>2058</v>
      </c>
      <c r="B908" t="s">
        <v>1136</v>
      </c>
      <c r="C908" t="s">
        <v>946</v>
      </c>
      <c r="D908" t="s">
        <v>26</v>
      </c>
      <c r="E908" t="s">
        <v>18</v>
      </c>
      <c r="F908" t="s">
        <v>146</v>
      </c>
      <c r="G908">
        <v>2</v>
      </c>
      <c r="H908">
        <v>7.31</v>
      </c>
      <c r="I908">
        <v>14.62</v>
      </c>
      <c r="J908">
        <v>8.63</v>
      </c>
      <c r="K908">
        <v>5.99</v>
      </c>
      <c r="L908" t="s">
        <v>60</v>
      </c>
      <c r="M908" t="s">
        <v>21</v>
      </c>
      <c r="N908" t="s">
        <v>644</v>
      </c>
    </row>
    <row r="909" spans="1:14">
      <c r="A909" t="s">
        <v>2059</v>
      </c>
      <c r="B909" t="s">
        <v>2060</v>
      </c>
      <c r="C909" t="s">
        <v>2061</v>
      </c>
      <c r="D909" t="s">
        <v>46</v>
      </c>
      <c r="E909" t="s">
        <v>74</v>
      </c>
      <c r="F909" t="s">
        <v>92</v>
      </c>
      <c r="G909">
        <v>5</v>
      </c>
      <c r="H909">
        <v>7.12</v>
      </c>
      <c r="I909">
        <v>35.6</v>
      </c>
      <c r="J909">
        <v>23.3</v>
      </c>
      <c r="K909">
        <v>12.3</v>
      </c>
      <c r="L909" t="s">
        <v>53</v>
      </c>
      <c r="M909" t="s">
        <v>54</v>
      </c>
      <c r="N909" t="s">
        <v>312</v>
      </c>
    </row>
    <row r="910" spans="1:14">
      <c r="A910" t="s">
        <v>2062</v>
      </c>
      <c r="B910" t="s">
        <v>273</v>
      </c>
      <c r="C910" t="s">
        <v>738</v>
      </c>
      <c r="D910" t="s">
        <v>69</v>
      </c>
      <c r="E910" t="s">
        <v>27</v>
      </c>
      <c r="F910" t="s">
        <v>70</v>
      </c>
      <c r="G910">
        <v>1</v>
      </c>
      <c r="H910">
        <v>3.17</v>
      </c>
      <c r="I910">
        <v>3.17</v>
      </c>
      <c r="J910">
        <v>1.72</v>
      </c>
      <c r="K910">
        <v>1.45</v>
      </c>
      <c r="L910" t="s">
        <v>20</v>
      </c>
      <c r="M910" t="s">
        <v>29</v>
      </c>
      <c r="N910" t="s">
        <v>212</v>
      </c>
    </row>
    <row r="911" spans="1:14">
      <c r="A911" t="s">
        <v>2063</v>
      </c>
      <c r="B911" t="s">
        <v>964</v>
      </c>
      <c r="C911" t="s">
        <v>2064</v>
      </c>
      <c r="D911" t="s">
        <v>69</v>
      </c>
      <c r="E911" t="s">
        <v>18</v>
      </c>
      <c r="F911" t="s">
        <v>146</v>
      </c>
      <c r="G911">
        <v>4</v>
      </c>
      <c r="H911">
        <v>7.71</v>
      </c>
      <c r="I911">
        <v>30.84</v>
      </c>
      <c r="J911">
        <v>21.33</v>
      </c>
      <c r="K911">
        <v>9.51</v>
      </c>
      <c r="L911" t="s">
        <v>20</v>
      </c>
      <c r="M911" t="s">
        <v>29</v>
      </c>
      <c r="N911" t="s">
        <v>352</v>
      </c>
    </row>
    <row r="912" spans="1:14">
      <c r="A912" t="s">
        <v>2065</v>
      </c>
      <c r="B912" t="s">
        <v>314</v>
      </c>
      <c r="C912" t="s">
        <v>2066</v>
      </c>
      <c r="D912" t="s">
        <v>69</v>
      </c>
      <c r="E912" t="s">
        <v>74</v>
      </c>
      <c r="F912" t="s">
        <v>83</v>
      </c>
      <c r="G912">
        <v>3</v>
      </c>
      <c r="H912">
        <v>7.38</v>
      </c>
      <c r="I912">
        <v>22.14</v>
      </c>
      <c r="J912">
        <v>12.87</v>
      </c>
      <c r="K912">
        <v>9.27</v>
      </c>
      <c r="L912" t="s">
        <v>60</v>
      </c>
      <c r="M912" t="s">
        <v>21</v>
      </c>
      <c r="N912" t="s">
        <v>105</v>
      </c>
    </row>
    <row r="913" spans="1:14">
      <c r="A913" t="s">
        <v>2067</v>
      </c>
      <c r="B913" t="s">
        <v>601</v>
      </c>
      <c r="C913" t="s">
        <v>1882</v>
      </c>
      <c r="D913" t="s">
        <v>52</v>
      </c>
      <c r="E913" t="s">
        <v>34</v>
      </c>
      <c r="F913" t="s">
        <v>47</v>
      </c>
      <c r="G913">
        <v>3</v>
      </c>
      <c r="H913">
        <v>7.31</v>
      </c>
      <c r="I913">
        <v>21.93</v>
      </c>
      <c r="J913">
        <v>13.25</v>
      </c>
      <c r="K913">
        <v>8.68</v>
      </c>
      <c r="L913" t="s">
        <v>53</v>
      </c>
      <c r="M913" t="s">
        <v>54</v>
      </c>
      <c r="N913" t="s">
        <v>560</v>
      </c>
    </row>
    <row r="914" spans="1:14">
      <c r="A914" t="s">
        <v>2068</v>
      </c>
      <c r="B914" t="s">
        <v>548</v>
      </c>
      <c r="C914" t="s">
        <v>1568</v>
      </c>
      <c r="D914" t="s">
        <v>17</v>
      </c>
      <c r="E914" t="s">
        <v>18</v>
      </c>
      <c r="F914" t="s">
        <v>19</v>
      </c>
      <c r="G914">
        <v>1</v>
      </c>
      <c r="H914">
        <v>5.09</v>
      </c>
      <c r="I914">
        <v>5.09</v>
      </c>
      <c r="J914">
        <v>2.63</v>
      </c>
      <c r="K914">
        <v>2.46</v>
      </c>
      <c r="L914" t="s">
        <v>20</v>
      </c>
      <c r="M914" t="s">
        <v>21</v>
      </c>
      <c r="N914" t="s">
        <v>22</v>
      </c>
    </row>
    <row r="915" spans="1:14">
      <c r="A915" t="s">
        <v>2069</v>
      </c>
      <c r="B915" t="s">
        <v>137</v>
      </c>
      <c r="C915" t="s">
        <v>2024</v>
      </c>
      <c r="D915" t="s">
        <v>46</v>
      </c>
      <c r="E915" t="s">
        <v>74</v>
      </c>
      <c r="F915" t="s">
        <v>75</v>
      </c>
      <c r="G915">
        <v>2</v>
      </c>
      <c r="H915">
        <v>7.3</v>
      </c>
      <c r="I915">
        <v>14.6</v>
      </c>
      <c r="J915">
        <v>6.59</v>
      </c>
      <c r="K915">
        <v>8.01</v>
      </c>
      <c r="L915" t="s">
        <v>36</v>
      </c>
      <c r="M915" t="s">
        <v>21</v>
      </c>
      <c r="N915" t="s">
        <v>599</v>
      </c>
    </row>
    <row r="916" spans="1:14">
      <c r="A916" t="s">
        <v>2070</v>
      </c>
      <c r="B916" t="s">
        <v>1719</v>
      </c>
      <c r="C916" t="s">
        <v>1171</v>
      </c>
      <c r="D916" t="s">
        <v>69</v>
      </c>
      <c r="E916" t="s">
        <v>18</v>
      </c>
      <c r="F916" t="s">
        <v>146</v>
      </c>
      <c r="G916">
        <v>1</v>
      </c>
      <c r="H916">
        <v>7.22</v>
      </c>
      <c r="I916">
        <v>7.22</v>
      </c>
      <c r="J916">
        <v>4.44</v>
      </c>
      <c r="K916">
        <v>2.78</v>
      </c>
      <c r="L916" t="s">
        <v>20</v>
      </c>
      <c r="M916" t="s">
        <v>54</v>
      </c>
      <c r="N916" t="s">
        <v>915</v>
      </c>
    </row>
    <row r="917" spans="1:14">
      <c r="A917" t="s">
        <v>2071</v>
      </c>
      <c r="B917" t="s">
        <v>523</v>
      </c>
      <c r="C917" t="s">
        <v>995</v>
      </c>
      <c r="D917" t="s">
        <v>26</v>
      </c>
      <c r="E917" t="s">
        <v>27</v>
      </c>
      <c r="F917" t="s">
        <v>28</v>
      </c>
      <c r="G917">
        <v>1</v>
      </c>
      <c r="H917">
        <v>4.3</v>
      </c>
      <c r="I917">
        <v>4.3</v>
      </c>
      <c r="J917">
        <v>2.75</v>
      </c>
      <c r="K917">
        <v>1.55</v>
      </c>
      <c r="L917" t="s">
        <v>60</v>
      </c>
      <c r="M917" t="s">
        <v>54</v>
      </c>
      <c r="N917" t="s">
        <v>139</v>
      </c>
    </row>
    <row r="918" spans="1:14">
      <c r="A918" t="s">
        <v>2072</v>
      </c>
      <c r="B918" t="s">
        <v>687</v>
      </c>
      <c r="C918" t="s">
        <v>1714</v>
      </c>
      <c r="D918" t="s">
        <v>69</v>
      </c>
      <c r="E918" t="s">
        <v>74</v>
      </c>
      <c r="F918" t="s">
        <v>92</v>
      </c>
      <c r="G918">
        <v>2</v>
      </c>
      <c r="H918">
        <v>6.09</v>
      </c>
      <c r="I918">
        <v>12.18</v>
      </c>
      <c r="J918">
        <v>6.2</v>
      </c>
      <c r="K918">
        <v>5.98</v>
      </c>
      <c r="L918" t="s">
        <v>53</v>
      </c>
      <c r="M918" t="s">
        <v>54</v>
      </c>
      <c r="N918" t="s">
        <v>278</v>
      </c>
    </row>
    <row r="919" spans="1:14">
      <c r="A919" t="s">
        <v>2073</v>
      </c>
      <c r="B919" t="s">
        <v>824</v>
      </c>
      <c r="C919" t="s">
        <v>2066</v>
      </c>
      <c r="D919" t="s">
        <v>52</v>
      </c>
      <c r="E919" t="s">
        <v>74</v>
      </c>
      <c r="F919" t="s">
        <v>92</v>
      </c>
      <c r="G919">
        <v>4</v>
      </c>
      <c r="H919">
        <v>3.96</v>
      </c>
      <c r="I919">
        <v>15.84</v>
      </c>
      <c r="J919">
        <v>7.89</v>
      </c>
      <c r="K919">
        <v>7.95</v>
      </c>
      <c r="L919" t="s">
        <v>20</v>
      </c>
      <c r="M919" t="s">
        <v>21</v>
      </c>
      <c r="N919" t="s">
        <v>187</v>
      </c>
    </row>
    <row r="920" spans="1:14">
      <c r="A920" t="s">
        <v>2074</v>
      </c>
      <c r="B920" t="s">
        <v>72</v>
      </c>
      <c r="C920" t="s">
        <v>1343</v>
      </c>
      <c r="D920" t="s">
        <v>69</v>
      </c>
      <c r="E920" t="s">
        <v>74</v>
      </c>
      <c r="F920" t="s">
        <v>83</v>
      </c>
      <c r="G920">
        <v>3</v>
      </c>
      <c r="H920">
        <v>5.07</v>
      </c>
      <c r="I920">
        <v>15.21</v>
      </c>
      <c r="J920">
        <v>8.5</v>
      </c>
      <c r="K920">
        <v>6.71</v>
      </c>
      <c r="L920" t="s">
        <v>20</v>
      </c>
      <c r="M920" t="s">
        <v>54</v>
      </c>
      <c r="N920" t="s">
        <v>242</v>
      </c>
    </row>
    <row r="921" spans="1:14">
      <c r="A921" t="s">
        <v>2075</v>
      </c>
      <c r="B921" t="s">
        <v>292</v>
      </c>
      <c r="C921" t="s">
        <v>2076</v>
      </c>
      <c r="D921" t="s">
        <v>52</v>
      </c>
      <c r="E921" t="s">
        <v>18</v>
      </c>
      <c r="F921" t="s">
        <v>19</v>
      </c>
      <c r="G921">
        <v>3</v>
      </c>
      <c r="H921">
        <v>7.18</v>
      </c>
      <c r="I921">
        <v>21.54</v>
      </c>
      <c r="J921">
        <v>10.94</v>
      </c>
      <c r="K921">
        <v>10.6</v>
      </c>
      <c r="L921" t="s">
        <v>60</v>
      </c>
      <c r="M921" t="s">
        <v>21</v>
      </c>
      <c r="N921" t="s">
        <v>118</v>
      </c>
    </row>
    <row r="922" spans="1:14">
      <c r="A922" t="s">
        <v>2077</v>
      </c>
      <c r="B922" t="s">
        <v>1168</v>
      </c>
      <c r="C922" t="s">
        <v>2078</v>
      </c>
      <c r="D922" t="s">
        <v>52</v>
      </c>
      <c r="E922" t="s">
        <v>74</v>
      </c>
      <c r="F922" t="s">
        <v>92</v>
      </c>
      <c r="G922">
        <v>3</v>
      </c>
      <c r="H922">
        <v>2.81</v>
      </c>
      <c r="I922">
        <v>8.43</v>
      </c>
      <c r="J922">
        <v>3.87</v>
      </c>
      <c r="K922">
        <v>4.56</v>
      </c>
      <c r="L922" t="s">
        <v>36</v>
      </c>
      <c r="M922" t="s">
        <v>29</v>
      </c>
      <c r="N922" t="s">
        <v>174</v>
      </c>
    </row>
    <row r="923" spans="1:14">
      <c r="A923" t="s">
        <v>2079</v>
      </c>
      <c r="B923" t="s">
        <v>2080</v>
      </c>
      <c r="C923" t="s">
        <v>1613</v>
      </c>
      <c r="D923" t="s">
        <v>52</v>
      </c>
      <c r="E923" t="s">
        <v>27</v>
      </c>
      <c r="F923" t="s">
        <v>28</v>
      </c>
      <c r="G923">
        <v>3</v>
      </c>
      <c r="H923">
        <v>7.4</v>
      </c>
      <c r="I923">
        <v>22.2</v>
      </c>
      <c r="J923">
        <v>11.13</v>
      </c>
      <c r="K923">
        <v>11.07</v>
      </c>
      <c r="L923" t="s">
        <v>20</v>
      </c>
      <c r="M923" t="s">
        <v>54</v>
      </c>
      <c r="N923" t="s">
        <v>174</v>
      </c>
    </row>
    <row r="924" spans="1:14">
      <c r="A924" t="s">
        <v>2081</v>
      </c>
      <c r="B924" t="s">
        <v>814</v>
      </c>
      <c r="C924" t="s">
        <v>2082</v>
      </c>
      <c r="D924" t="s">
        <v>46</v>
      </c>
      <c r="E924" t="s">
        <v>74</v>
      </c>
      <c r="F924" t="s">
        <v>92</v>
      </c>
      <c r="G924">
        <v>5</v>
      </c>
      <c r="H924">
        <v>7.89</v>
      </c>
      <c r="I924">
        <v>39.45</v>
      </c>
      <c r="J924">
        <v>26.55</v>
      </c>
      <c r="K924">
        <v>12.9</v>
      </c>
      <c r="L924" t="s">
        <v>53</v>
      </c>
      <c r="M924" t="s">
        <v>21</v>
      </c>
      <c r="N924" t="s">
        <v>22</v>
      </c>
    </row>
    <row r="925" spans="1:14">
      <c r="A925" t="s">
        <v>2083</v>
      </c>
      <c r="B925" t="s">
        <v>1066</v>
      </c>
      <c r="C925" t="s">
        <v>2084</v>
      </c>
      <c r="D925" t="s">
        <v>46</v>
      </c>
      <c r="E925" t="s">
        <v>18</v>
      </c>
      <c r="F925" t="s">
        <v>146</v>
      </c>
      <c r="G925">
        <v>4</v>
      </c>
      <c r="H925">
        <v>2.95</v>
      </c>
      <c r="I925">
        <v>11.8</v>
      </c>
      <c r="J925">
        <v>8.17</v>
      </c>
      <c r="K925">
        <v>3.63</v>
      </c>
      <c r="L925" t="s">
        <v>36</v>
      </c>
      <c r="M925" t="s">
        <v>54</v>
      </c>
      <c r="N925" t="s">
        <v>377</v>
      </c>
    </row>
    <row r="926" spans="1:14">
      <c r="A926" t="s">
        <v>2085</v>
      </c>
      <c r="B926" t="s">
        <v>2086</v>
      </c>
      <c r="C926" t="s">
        <v>2087</v>
      </c>
      <c r="D926" t="s">
        <v>26</v>
      </c>
      <c r="E926" t="s">
        <v>74</v>
      </c>
      <c r="F926" t="s">
        <v>83</v>
      </c>
      <c r="G926">
        <v>5</v>
      </c>
      <c r="H926">
        <v>4.11</v>
      </c>
      <c r="I926">
        <v>20.55</v>
      </c>
      <c r="J926">
        <v>10.21</v>
      </c>
      <c r="K926">
        <v>10.34</v>
      </c>
      <c r="L926" t="s">
        <v>53</v>
      </c>
      <c r="M926" t="s">
        <v>29</v>
      </c>
      <c r="N926" t="s">
        <v>644</v>
      </c>
    </row>
    <row r="927" spans="1:14">
      <c r="A927" t="s">
        <v>2088</v>
      </c>
      <c r="B927" t="s">
        <v>418</v>
      </c>
      <c r="C927" t="s">
        <v>1333</v>
      </c>
      <c r="D927" t="s">
        <v>17</v>
      </c>
      <c r="E927" t="s">
        <v>34</v>
      </c>
      <c r="F927" t="s">
        <v>35</v>
      </c>
      <c r="G927">
        <v>2</v>
      </c>
      <c r="H927">
        <v>4.81</v>
      </c>
      <c r="I927">
        <v>9.62</v>
      </c>
      <c r="J927">
        <v>5.88</v>
      </c>
      <c r="K927">
        <v>3.74</v>
      </c>
      <c r="L927" t="s">
        <v>36</v>
      </c>
      <c r="M927" t="s">
        <v>54</v>
      </c>
      <c r="N927" t="s">
        <v>560</v>
      </c>
    </row>
    <row r="928" spans="1:14">
      <c r="A928" t="s">
        <v>2089</v>
      </c>
      <c r="B928" t="s">
        <v>1215</v>
      </c>
      <c r="C928" t="s">
        <v>657</v>
      </c>
      <c r="D928" t="s">
        <v>26</v>
      </c>
      <c r="E928" t="s">
        <v>34</v>
      </c>
      <c r="F928" t="s">
        <v>47</v>
      </c>
      <c r="G928">
        <v>2</v>
      </c>
      <c r="H928">
        <v>7.22</v>
      </c>
      <c r="I928">
        <v>14.44</v>
      </c>
      <c r="J928">
        <v>7.62</v>
      </c>
      <c r="K928">
        <v>6.82</v>
      </c>
      <c r="L928" t="s">
        <v>20</v>
      </c>
      <c r="M928" t="s">
        <v>29</v>
      </c>
      <c r="N928" t="s">
        <v>431</v>
      </c>
    </row>
    <row r="929" spans="1:14">
      <c r="A929" t="s">
        <v>2090</v>
      </c>
      <c r="B929" t="s">
        <v>1532</v>
      </c>
      <c r="C929" t="s">
        <v>720</v>
      </c>
      <c r="D929" t="s">
        <v>17</v>
      </c>
      <c r="E929" t="s">
        <v>27</v>
      </c>
      <c r="F929" t="s">
        <v>125</v>
      </c>
      <c r="G929">
        <v>2</v>
      </c>
      <c r="H929">
        <v>6.89</v>
      </c>
      <c r="I929">
        <v>13.78</v>
      </c>
      <c r="J929">
        <v>6.22</v>
      </c>
      <c r="K929">
        <v>7.56</v>
      </c>
      <c r="L929" t="s">
        <v>20</v>
      </c>
      <c r="M929" t="s">
        <v>21</v>
      </c>
      <c r="N929" t="s">
        <v>101</v>
      </c>
    </row>
    <row r="930" spans="1:14">
      <c r="A930" t="s">
        <v>2091</v>
      </c>
      <c r="B930" t="s">
        <v>548</v>
      </c>
      <c r="C930" t="s">
        <v>2092</v>
      </c>
      <c r="D930" t="s">
        <v>69</v>
      </c>
      <c r="E930" t="s">
        <v>18</v>
      </c>
      <c r="F930" t="s">
        <v>19</v>
      </c>
      <c r="G930">
        <v>4</v>
      </c>
      <c r="H930">
        <v>3.43</v>
      </c>
      <c r="I930">
        <v>13.72</v>
      </c>
      <c r="J930">
        <v>7.67</v>
      </c>
      <c r="K930">
        <v>6.05</v>
      </c>
      <c r="L930" t="s">
        <v>36</v>
      </c>
      <c r="M930" t="s">
        <v>21</v>
      </c>
      <c r="N930" t="s">
        <v>377</v>
      </c>
    </row>
    <row r="931" spans="1:14">
      <c r="A931" t="s">
        <v>2093</v>
      </c>
      <c r="B931" t="s">
        <v>1091</v>
      </c>
      <c r="C931" t="s">
        <v>2094</v>
      </c>
      <c r="D931" t="s">
        <v>52</v>
      </c>
      <c r="E931" t="s">
        <v>74</v>
      </c>
      <c r="F931" t="s">
        <v>83</v>
      </c>
      <c r="G931">
        <v>5</v>
      </c>
      <c r="H931">
        <v>4.89</v>
      </c>
      <c r="I931">
        <v>24.45</v>
      </c>
      <c r="J931">
        <v>12.18</v>
      </c>
      <c r="K931">
        <v>12.27</v>
      </c>
      <c r="L931" t="s">
        <v>60</v>
      </c>
      <c r="M931" t="s">
        <v>29</v>
      </c>
      <c r="N931" t="s">
        <v>223</v>
      </c>
    </row>
    <row r="932" spans="1:14">
      <c r="A932" t="s">
        <v>2095</v>
      </c>
      <c r="B932" t="s">
        <v>107</v>
      </c>
      <c r="C932" t="s">
        <v>1729</v>
      </c>
      <c r="D932" t="s">
        <v>17</v>
      </c>
      <c r="E932" t="s">
        <v>34</v>
      </c>
      <c r="F932" t="s">
        <v>130</v>
      </c>
      <c r="G932">
        <v>2</v>
      </c>
      <c r="H932">
        <v>2.75</v>
      </c>
      <c r="I932">
        <v>5.5</v>
      </c>
      <c r="J932">
        <v>2.75</v>
      </c>
      <c r="K932">
        <v>2.75</v>
      </c>
      <c r="L932" t="s">
        <v>53</v>
      </c>
      <c r="M932" t="s">
        <v>54</v>
      </c>
      <c r="N932" t="s">
        <v>79</v>
      </c>
    </row>
    <row r="933" spans="1:14">
      <c r="A933" t="s">
        <v>2096</v>
      </c>
      <c r="B933" t="s">
        <v>755</v>
      </c>
      <c r="C933" t="s">
        <v>1384</v>
      </c>
      <c r="D933" t="s">
        <v>46</v>
      </c>
      <c r="E933" t="s">
        <v>27</v>
      </c>
      <c r="F933" t="s">
        <v>70</v>
      </c>
      <c r="G933">
        <v>4</v>
      </c>
      <c r="H933">
        <v>4.05</v>
      </c>
      <c r="I933">
        <v>16.2</v>
      </c>
      <c r="J933">
        <v>11</v>
      </c>
      <c r="K933">
        <v>5.2</v>
      </c>
      <c r="L933" t="s">
        <v>60</v>
      </c>
      <c r="M933" t="s">
        <v>54</v>
      </c>
      <c r="N933" t="s">
        <v>84</v>
      </c>
    </row>
    <row r="934" spans="1:14">
      <c r="A934" t="s">
        <v>2097</v>
      </c>
      <c r="B934" t="s">
        <v>880</v>
      </c>
      <c r="C934" t="s">
        <v>515</v>
      </c>
      <c r="D934" t="s">
        <v>69</v>
      </c>
      <c r="E934" t="s">
        <v>34</v>
      </c>
      <c r="F934" t="s">
        <v>47</v>
      </c>
      <c r="G934">
        <v>1</v>
      </c>
      <c r="H934">
        <v>3.7</v>
      </c>
      <c r="I934">
        <v>3.7</v>
      </c>
      <c r="J934">
        <v>1.93</v>
      </c>
      <c r="K934">
        <v>1.77</v>
      </c>
      <c r="L934" t="s">
        <v>53</v>
      </c>
      <c r="M934" t="s">
        <v>21</v>
      </c>
      <c r="N934" t="s">
        <v>234</v>
      </c>
    </row>
    <row r="935" spans="1:14">
      <c r="A935" t="s">
        <v>2098</v>
      </c>
      <c r="B935" t="s">
        <v>585</v>
      </c>
      <c r="C935" t="s">
        <v>2099</v>
      </c>
      <c r="D935" t="s">
        <v>69</v>
      </c>
      <c r="E935" t="s">
        <v>27</v>
      </c>
      <c r="F935" t="s">
        <v>169</v>
      </c>
      <c r="G935">
        <v>2</v>
      </c>
      <c r="H935">
        <v>6.97</v>
      </c>
      <c r="I935">
        <v>13.94</v>
      </c>
      <c r="J935">
        <v>6.71</v>
      </c>
      <c r="K935">
        <v>7.23</v>
      </c>
      <c r="L935" t="s">
        <v>53</v>
      </c>
      <c r="M935" t="s">
        <v>21</v>
      </c>
      <c r="N935" t="s">
        <v>410</v>
      </c>
    </row>
    <row r="936" spans="1:14">
      <c r="A936" t="s">
        <v>2100</v>
      </c>
      <c r="B936" t="s">
        <v>95</v>
      </c>
      <c r="C936" t="s">
        <v>2101</v>
      </c>
      <c r="D936" t="s">
        <v>52</v>
      </c>
      <c r="E936" t="s">
        <v>34</v>
      </c>
      <c r="F936" t="s">
        <v>135</v>
      </c>
      <c r="G936">
        <v>4</v>
      </c>
      <c r="H936">
        <v>4.77</v>
      </c>
      <c r="I936">
        <v>19.08</v>
      </c>
      <c r="J936">
        <v>9.84</v>
      </c>
      <c r="K936">
        <v>9.24</v>
      </c>
      <c r="L936" t="s">
        <v>20</v>
      </c>
      <c r="M936" t="s">
        <v>21</v>
      </c>
      <c r="N936" t="s">
        <v>142</v>
      </c>
    </row>
    <row r="937" spans="1:14">
      <c r="A937" t="s">
        <v>2102</v>
      </c>
      <c r="B937" t="s">
        <v>1075</v>
      </c>
      <c r="C937" t="s">
        <v>1369</v>
      </c>
      <c r="D937" t="s">
        <v>46</v>
      </c>
      <c r="E937" t="s">
        <v>18</v>
      </c>
      <c r="F937" t="s">
        <v>19</v>
      </c>
      <c r="G937">
        <v>5</v>
      </c>
      <c r="H937">
        <v>7.89</v>
      </c>
      <c r="I937">
        <v>39.45</v>
      </c>
      <c r="J937">
        <v>21.22</v>
      </c>
      <c r="K937">
        <v>18.23</v>
      </c>
      <c r="L937" t="s">
        <v>20</v>
      </c>
      <c r="M937" t="s">
        <v>54</v>
      </c>
      <c r="N937" t="s">
        <v>1362</v>
      </c>
    </row>
    <row r="938" spans="1:14">
      <c r="A938" t="s">
        <v>2103</v>
      </c>
      <c r="B938" t="s">
        <v>453</v>
      </c>
      <c r="C938" t="s">
        <v>1382</v>
      </c>
      <c r="D938" t="s">
        <v>26</v>
      </c>
      <c r="E938" t="s">
        <v>27</v>
      </c>
      <c r="F938" t="s">
        <v>28</v>
      </c>
      <c r="G938">
        <v>1</v>
      </c>
      <c r="H938">
        <v>4.62</v>
      </c>
      <c r="I938">
        <v>4.62</v>
      </c>
      <c r="J938">
        <v>3.09</v>
      </c>
      <c r="K938">
        <v>1.53</v>
      </c>
      <c r="L938" t="s">
        <v>36</v>
      </c>
      <c r="M938" t="s">
        <v>21</v>
      </c>
      <c r="N938" t="s">
        <v>183</v>
      </c>
    </row>
    <row r="939" spans="1:14">
      <c r="A939" t="s">
        <v>2104</v>
      </c>
      <c r="B939" t="s">
        <v>493</v>
      </c>
      <c r="C939" t="s">
        <v>1733</v>
      </c>
      <c r="D939" t="s">
        <v>26</v>
      </c>
      <c r="E939" t="s">
        <v>74</v>
      </c>
      <c r="F939" t="s">
        <v>75</v>
      </c>
      <c r="G939">
        <v>4</v>
      </c>
      <c r="H939">
        <v>4.86</v>
      </c>
      <c r="I939">
        <v>19.44</v>
      </c>
      <c r="J939">
        <v>12.34</v>
      </c>
      <c r="K939">
        <v>7.1</v>
      </c>
      <c r="L939" t="s">
        <v>20</v>
      </c>
      <c r="M939" t="s">
        <v>21</v>
      </c>
      <c r="N939" t="s">
        <v>896</v>
      </c>
    </row>
    <row r="940" spans="1:14">
      <c r="A940" t="s">
        <v>2105</v>
      </c>
      <c r="B940" t="s">
        <v>120</v>
      </c>
      <c r="C940" t="s">
        <v>2106</v>
      </c>
      <c r="D940" t="s">
        <v>52</v>
      </c>
      <c r="E940" t="s">
        <v>27</v>
      </c>
      <c r="F940" t="s">
        <v>169</v>
      </c>
      <c r="G940">
        <v>5</v>
      </c>
      <c r="H940">
        <v>7.26</v>
      </c>
      <c r="I940">
        <v>36.3</v>
      </c>
      <c r="J940">
        <v>20.18</v>
      </c>
      <c r="K940">
        <v>16.12</v>
      </c>
      <c r="L940" t="s">
        <v>60</v>
      </c>
      <c r="M940" t="s">
        <v>54</v>
      </c>
      <c r="N940" t="s">
        <v>448</v>
      </c>
    </row>
    <row r="941" spans="1:14">
      <c r="A941" t="s">
        <v>2107</v>
      </c>
      <c r="B941" t="s">
        <v>2108</v>
      </c>
      <c r="C941" t="s">
        <v>2109</v>
      </c>
      <c r="D941" t="s">
        <v>52</v>
      </c>
      <c r="E941" t="s">
        <v>18</v>
      </c>
      <c r="F941" t="s">
        <v>146</v>
      </c>
      <c r="G941">
        <v>2</v>
      </c>
      <c r="H941">
        <v>5.51</v>
      </c>
      <c r="I941">
        <v>11.02</v>
      </c>
      <c r="J941">
        <v>6.23</v>
      </c>
      <c r="K941">
        <v>4.79</v>
      </c>
      <c r="L941" t="s">
        <v>53</v>
      </c>
      <c r="M941" t="s">
        <v>29</v>
      </c>
      <c r="N941" t="s">
        <v>147</v>
      </c>
    </row>
    <row r="942" spans="1:14">
      <c r="A942" t="s">
        <v>2110</v>
      </c>
      <c r="B942" t="s">
        <v>611</v>
      </c>
      <c r="C942" t="s">
        <v>1983</v>
      </c>
      <c r="D942" t="s">
        <v>17</v>
      </c>
      <c r="E942" t="s">
        <v>34</v>
      </c>
      <c r="F942" t="s">
        <v>130</v>
      </c>
      <c r="G942">
        <v>3</v>
      </c>
      <c r="H942">
        <v>3.68</v>
      </c>
      <c r="I942">
        <v>11.04</v>
      </c>
      <c r="J942">
        <v>7.13</v>
      </c>
      <c r="K942">
        <v>3.91</v>
      </c>
      <c r="L942" t="s">
        <v>36</v>
      </c>
      <c r="M942" t="s">
        <v>29</v>
      </c>
      <c r="N942" t="s">
        <v>139</v>
      </c>
    </row>
    <row r="943" spans="1:14">
      <c r="A943" t="s">
        <v>2111</v>
      </c>
      <c r="B943" t="s">
        <v>1358</v>
      </c>
      <c r="C943" t="s">
        <v>1176</v>
      </c>
      <c r="D943" t="s">
        <v>52</v>
      </c>
      <c r="E943" t="s">
        <v>27</v>
      </c>
      <c r="F943" t="s">
        <v>28</v>
      </c>
      <c r="G943">
        <v>5</v>
      </c>
      <c r="H943">
        <v>2.82</v>
      </c>
      <c r="I943">
        <v>14.1</v>
      </c>
      <c r="J943">
        <v>7.34</v>
      </c>
      <c r="K943">
        <v>6.76</v>
      </c>
      <c r="L943" t="s">
        <v>53</v>
      </c>
      <c r="M943" t="s">
        <v>21</v>
      </c>
      <c r="N943" t="s">
        <v>261</v>
      </c>
    </row>
    <row r="944" spans="1:14">
      <c r="A944" t="s">
        <v>2112</v>
      </c>
      <c r="B944" t="s">
        <v>1493</v>
      </c>
      <c r="C944" t="s">
        <v>2113</v>
      </c>
      <c r="D944" t="s">
        <v>46</v>
      </c>
      <c r="E944" t="s">
        <v>27</v>
      </c>
      <c r="F944" t="s">
        <v>169</v>
      </c>
      <c r="G944">
        <v>1</v>
      </c>
      <c r="H944">
        <v>2.53</v>
      </c>
      <c r="I944">
        <v>2.53</v>
      </c>
      <c r="J944">
        <v>1.58</v>
      </c>
      <c r="K944">
        <v>0.95</v>
      </c>
      <c r="L944" t="s">
        <v>53</v>
      </c>
      <c r="M944" t="s">
        <v>54</v>
      </c>
      <c r="N944" t="s">
        <v>30</v>
      </c>
    </row>
    <row r="945" spans="1:14">
      <c r="A945" t="s">
        <v>2114</v>
      </c>
      <c r="B945" t="s">
        <v>502</v>
      </c>
      <c r="C945" t="s">
        <v>2115</v>
      </c>
      <c r="D945" t="s">
        <v>52</v>
      </c>
      <c r="E945" t="s">
        <v>27</v>
      </c>
      <c r="F945" t="s">
        <v>28</v>
      </c>
      <c r="G945">
        <v>2</v>
      </c>
      <c r="H945">
        <v>4.39</v>
      </c>
      <c r="I945">
        <v>8.78</v>
      </c>
      <c r="J945">
        <v>4.16</v>
      </c>
      <c r="K945">
        <v>4.62</v>
      </c>
      <c r="L945" t="s">
        <v>53</v>
      </c>
      <c r="M945" t="s">
        <v>29</v>
      </c>
      <c r="N945" t="s">
        <v>530</v>
      </c>
    </row>
    <row r="946" spans="1:14">
      <c r="A946" t="s">
        <v>2116</v>
      </c>
      <c r="B946" t="s">
        <v>548</v>
      </c>
      <c r="C946" t="s">
        <v>2117</v>
      </c>
      <c r="D946" t="s">
        <v>17</v>
      </c>
      <c r="E946" t="s">
        <v>27</v>
      </c>
      <c r="F946" t="s">
        <v>28</v>
      </c>
      <c r="G946">
        <v>3</v>
      </c>
      <c r="H946">
        <v>4.35</v>
      </c>
      <c r="I946">
        <v>13.05</v>
      </c>
      <c r="J946">
        <v>8.43</v>
      </c>
      <c r="K946">
        <v>4.62</v>
      </c>
      <c r="L946" t="s">
        <v>36</v>
      </c>
      <c r="M946" t="s">
        <v>21</v>
      </c>
      <c r="N946" t="s">
        <v>22</v>
      </c>
    </row>
    <row r="947" spans="1:14">
      <c r="A947" t="s">
        <v>2118</v>
      </c>
      <c r="B947" t="s">
        <v>456</v>
      </c>
      <c r="C947" t="s">
        <v>2119</v>
      </c>
      <c r="D947" t="s">
        <v>17</v>
      </c>
      <c r="E947" t="s">
        <v>18</v>
      </c>
      <c r="F947" t="s">
        <v>19</v>
      </c>
      <c r="G947">
        <v>2</v>
      </c>
      <c r="H947">
        <v>6.5</v>
      </c>
      <c r="I947">
        <v>13</v>
      </c>
      <c r="J947">
        <v>8.07</v>
      </c>
      <c r="K947">
        <v>4.93</v>
      </c>
      <c r="L947" t="s">
        <v>20</v>
      </c>
      <c r="M947" t="s">
        <v>54</v>
      </c>
      <c r="N947" t="s">
        <v>397</v>
      </c>
    </row>
    <row r="948" spans="1:14">
      <c r="A948" t="s">
        <v>2120</v>
      </c>
      <c r="B948" t="s">
        <v>189</v>
      </c>
      <c r="C948" t="s">
        <v>2121</v>
      </c>
      <c r="D948" t="s">
        <v>17</v>
      </c>
      <c r="E948" t="s">
        <v>74</v>
      </c>
      <c r="F948" t="s">
        <v>75</v>
      </c>
      <c r="G948">
        <v>1</v>
      </c>
      <c r="H948">
        <v>2.55</v>
      </c>
      <c r="I948">
        <v>2.55</v>
      </c>
      <c r="J948">
        <v>1.2</v>
      </c>
      <c r="K948">
        <v>1.35</v>
      </c>
      <c r="L948" t="s">
        <v>20</v>
      </c>
      <c r="M948" t="s">
        <v>29</v>
      </c>
      <c r="N948" t="s">
        <v>560</v>
      </c>
    </row>
    <row r="949" spans="1:14">
      <c r="A949" t="s">
        <v>2122</v>
      </c>
      <c r="B949" t="s">
        <v>1523</v>
      </c>
      <c r="C949" t="s">
        <v>284</v>
      </c>
      <c r="D949" t="s">
        <v>26</v>
      </c>
      <c r="E949" t="s">
        <v>34</v>
      </c>
      <c r="F949" t="s">
        <v>59</v>
      </c>
      <c r="G949">
        <v>5</v>
      </c>
      <c r="H949">
        <v>6.32</v>
      </c>
      <c r="I949">
        <v>31.6</v>
      </c>
      <c r="J949">
        <v>17.24</v>
      </c>
      <c r="K949">
        <v>14.36</v>
      </c>
      <c r="L949" t="s">
        <v>53</v>
      </c>
      <c r="M949" t="s">
        <v>21</v>
      </c>
      <c r="N949" t="s">
        <v>209</v>
      </c>
    </row>
    <row r="950" spans="1:14">
      <c r="A950" t="s">
        <v>2123</v>
      </c>
      <c r="B950" t="s">
        <v>1972</v>
      </c>
      <c r="C950" t="s">
        <v>2124</v>
      </c>
      <c r="D950" t="s">
        <v>69</v>
      </c>
      <c r="E950" t="s">
        <v>18</v>
      </c>
      <c r="F950" t="s">
        <v>19</v>
      </c>
      <c r="G950">
        <v>1</v>
      </c>
      <c r="H950">
        <v>2.74</v>
      </c>
      <c r="I950">
        <v>2.74</v>
      </c>
      <c r="J950">
        <v>1.61</v>
      </c>
      <c r="K950">
        <v>1.13</v>
      </c>
      <c r="L950" t="s">
        <v>60</v>
      </c>
      <c r="M950" t="s">
        <v>21</v>
      </c>
      <c r="N950" t="s">
        <v>887</v>
      </c>
    </row>
    <row r="951" spans="1:14">
      <c r="A951" t="s">
        <v>2125</v>
      </c>
      <c r="B951" t="s">
        <v>994</v>
      </c>
      <c r="C951" t="s">
        <v>2126</v>
      </c>
      <c r="D951" t="s">
        <v>17</v>
      </c>
      <c r="E951" t="s">
        <v>27</v>
      </c>
      <c r="F951" t="s">
        <v>169</v>
      </c>
      <c r="G951">
        <v>2</v>
      </c>
      <c r="H951">
        <v>6.45</v>
      </c>
      <c r="I951">
        <v>12.9</v>
      </c>
      <c r="J951">
        <v>6.22</v>
      </c>
      <c r="K951">
        <v>6.68</v>
      </c>
      <c r="L951" t="s">
        <v>60</v>
      </c>
      <c r="M951" t="s">
        <v>29</v>
      </c>
      <c r="N951" t="s">
        <v>397</v>
      </c>
    </row>
    <row r="952" spans="1:14">
      <c r="A952" t="s">
        <v>2127</v>
      </c>
      <c r="B952" t="s">
        <v>1168</v>
      </c>
      <c r="C952" t="s">
        <v>1422</v>
      </c>
      <c r="D952" t="s">
        <v>26</v>
      </c>
      <c r="E952" t="s">
        <v>74</v>
      </c>
      <c r="F952" t="s">
        <v>92</v>
      </c>
      <c r="G952">
        <v>4</v>
      </c>
      <c r="H952">
        <v>7.34</v>
      </c>
      <c r="I952">
        <v>29.36</v>
      </c>
      <c r="J952">
        <v>17.76</v>
      </c>
      <c r="K952">
        <v>11.6</v>
      </c>
      <c r="L952" t="s">
        <v>20</v>
      </c>
      <c r="M952" t="s">
        <v>54</v>
      </c>
      <c r="N952" t="s">
        <v>287</v>
      </c>
    </row>
    <row r="953" spans="1:14">
      <c r="A953" t="s">
        <v>2128</v>
      </c>
      <c r="B953" t="s">
        <v>1165</v>
      </c>
      <c r="C953" t="s">
        <v>2129</v>
      </c>
      <c r="D953" t="s">
        <v>46</v>
      </c>
      <c r="E953" t="s">
        <v>27</v>
      </c>
      <c r="F953" t="s">
        <v>125</v>
      </c>
      <c r="G953">
        <v>5</v>
      </c>
      <c r="H953">
        <v>3.19</v>
      </c>
      <c r="I953">
        <v>15.95</v>
      </c>
      <c r="J953">
        <v>8.23</v>
      </c>
      <c r="K953">
        <v>7.72</v>
      </c>
      <c r="L953" t="s">
        <v>20</v>
      </c>
      <c r="M953" t="s">
        <v>54</v>
      </c>
      <c r="N953" t="s">
        <v>841</v>
      </c>
    </row>
    <row r="954" spans="1:14">
      <c r="A954" t="s">
        <v>2130</v>
      </c>
      <c r="B954" t="s">
        <v>538</v>
      </c>
      <c r="C954" t="s">
        <v>2131</v>
      </c>
      <c r="D954" t="s">
        <v>69</v>
      </c>
      <c r="E954" t="s">
        <v>18</v>
      </c>
      <c r="F954" t="s">
        <v>19</v>
      </c>
      <c r="G954">
        <v>5</v>
      </c>
      <c r="H954">
        <v>6.88</v>
      </c>
      <c r="I954">
        <v>34.4</v>
      </c>
      <c r="J954">
        <v>19.27</v>
      </c>
      <c r="K954">
        <v>15.13</v>
      </c>
      <c r="L954" t="s">
        <v>20</v>
      </c>
      <c r="M954" t="s">
        <v>54</v>
      </c>
      <c r="N954" t="s">
        <v>142</v>
      </c>
    </row>
    <row r="955" spans="1:14">
      <c r="A955" t="s">
        <v>2132</v>
      </c>
      <c r="B955" t="s">
        <v>189</v>
      </c>
      <c r="C955" t="s">
        <v>836</v>
      </c>
      <c r="D955" t="s">
        <v>17</v>
      </c>
      <c r="E955" t="s">
        <v>27</v>
      </c>
      <c r="F955" t="s">
        <v>70</v>
      </c>
      <c r="G955">
        <v>4</v>
      </c>
      <c r="H955">
        <v>7.42</v>
      </c>
      <c r="I955">
        <v>29.68</v>
      </c>
      <c r="J955">
        <v>14.57</v>
      </c>
      <c r="K955">
        <v>15.11</v>
      </c>
      <c r="L955" t="s">
        <v>60</v>
      </c>
      <c r="M955" t="s">
        <v>21</v>
      </c>
      <c r="N955" t="s">
        <v>151</v>
      </c>
    </row>
    <row r="956" spans="1:14">
      <c r="A956" t="s">
        <v>2133</v>
      </c>
      <c r="B956" t="s">
        <v>811</v>
      </c>
      <c r="C956" t="s">
        <v>2134</v>
      </c>
      <c r="D956" t="s">
        <v>26</v>
      </c>
      <c r="E956" t="s">
        <v>34</v>
      </c>
      <c r="F956" t="s">
        <v>47</v>
      </c>
      <c r="G956">
        <v>1</v>
      </c>
      <c r="H956">
        <v>4.74</v>
      </c>
      <c r="I956">
        <v>4.74</v>
      </c>
      <c r="J956">
        <v>2.52</v>
      </c>
      <c r="K956">
        <v>2.22</v>
      </c>
      <c r="L956" t="s">
        <v>36</v>
      </c>
      <c r="M956" t="s">
        <v>54</v>
      </c>
      <c r="N956" t="s">
        <v>466</v>
      </c>
    </row>
    <row r="957" spans="1:14">
      <c r="A957" t="s">
        <v>2135</v>
      </c>
      <c r="B957" t="s">
        <v>2136</v>
      </c>
      <c r="C957" t="s">
        <v>2137</v>
      </c>
      <c r="D957" t="s">
        <v>69</v>
      </c>
      <c r="E957" t="s">
        <v>18</v>
      </c>
      <c r="F957" t="s">
        <v>41</v>
      </c>
      <c r="G957">
        <v>3</v>
      </c>
      <c r="H957">
        <v>7.16</v>
      </c>
      <c r="I957">
        <v>21.48</v>
      </c>
      <c r="J957">
        <v>14.63</v>
      </c>
      <c r="K957">
        <v>6.85</v>
      </c>
      <c r="L957" t="s">
        <v>60</v>
      </c>
      <c r="M957" t="s">
        <v>29</v>
      </c>
      <c r="N957" t="s">
        <v>796</v>
      </c>
    </row>
    <row r="958" spans="1:14">
      <c r="A958" t="s">
        <v>2138</v>
      </c>
      <c r="B958" t="s">
        <v>1547</v>
      </c>
      <c r="C958" t="s">
        <v>962</v>
      </c>
      <c r="D958" t="s">
        <v>17</v>
      </c>
      <c r="E958" t="s">
        <v>34</v>
      </c>
      <c r="F958" t="s">
        <v>47</v>
      </c>
      <c r="G958">
        <v>5</v>
      </c>
      <c r="H958">
        <v>3.16</v>
      </c>
      <c r="I958">
        <v>15.8</v>
      </c>
      <c r="J958">
        <v>10.89</v>
      </c>
      <c r="K958">
        <v>4.91</v>
      </c>
      <c r="L958" t="s">
        <v>53</v>
      </c>
      <c r="M958" t="s">
        <v>29</v>
      </c>
      <c r="N958" t="s">
        <v>970</v>
      </c>
    </row>
    <row r="959" spans="1:14">
      <c r="A959" t="s">
        <v>2139</v>
      </c>
      <c r="B959" t="s">
        <v>845</v>
      </c>
      <c r="C959" t="s">
        <v>1951</v>
      </c>
      <c r="D959" t="s">
        <v>17</v>
      </c>
      <c r="E959" t="s">
        <v>34</v>
      </c>
      <c r="F959" t="s">
        <v>47</v>
      </c>
      <c r="G959">
        <v>2</v>
      </c>
      <c r="H959">
        <v>4.45</v>
      </c>
      <c r="I959">
        <v>8.9</v>
      </c>
      <c r="J959">
        <v>4.75</v>
      </c>
      <c r="K959">
        <v>4.15</v>
      </c>
      <c r="L959" t="s">
        <v>60</v>
      </c>
      <c r="M959" t="s">
        <v>21</v>
      </c>
      <c r="N959" t="s">
        <v>79</v>
      </c>
    </row>
    <row r="960" spans="1:14">
      <c r="A960" t="s">
        <v>2140</v>
      </c>
      <c r="B960" t="s">
        <v>687</v>
      </c>
      <c r="C960" t="s">
        <v>2141</v>
      </c>
      <c r="D960" t="s">
        <v>17</v>
      </c>
      <c r="E960" t="s">
        <v>74</v>
      </c>
      <c r="F960" t="s">
        <v>83</v>
      </c>
      <c r="G960">
        <v>5</v>
      </c>
      <c r="H960">
        <v>4.66</v>
      </c>
      <c r="I960">
        <v>23.3</v>
      </c>
      <c r="J960">
        <v>15.69</v>
      </c>
      <c r="K960">
        <v>7.61</v>
      </c>
      <c r="L960" t="s">
        <v>36</v>
      </c>
      <c r="M960" t="s">
        <v>29</v>
      </c>
      <c r="N960" t="s">
        <v>783</v>
      </c>
    </row>
    <row r="961" spans="1:14">
      <c r="A961" t="s">
        <v>2142</v>
      </c>
      <c r="B961" t="s">
        <v>603</v>
      </c>
      <c r="C961" t="s">
        <v>2143</v>
      </c>
      <c r="D961" t="s">
        <v>26</v>
      </c>
      <c r="E961" t="s">
        <v>34</v>
      </c>
      <c r="F961" t="s">
        <v>130</v>
      </c>
      <c r="G961">
        <v>3</v>
      </c>
      <c r="H961">
        <v>6.32</v>
      </c>
      <c r="I961">
        <v>18.96</v>
      </c>
      <c r="J961">
        <v>11.58</v>
      </c>
      <c r="K961">
        <v>7.38</v>
      </c>
      <c r="L961" t="s">
        <v>53</v>
      </c>
      <c r="M961" t="s">
        <v>21</v>
      </c>
      <c r="N961" t="s">
        <v>209</v>
      </c>
    </row>
    <row r="962" spans="1:14">
      <c r="A962" t="s">
        <v>2144</v>
      </c>
      <c r="B962" t="s">
        <v>336</v>
      </c>
      <c r="C962" t="s">
        <v>1820</v>
      </c>
      <c r="D962" t="s">
        <v>52</v>
      </c>
      <c r="E962" t="s">
        <v>27</v>
      </c>
      <c r="F962" t="s">
        <v>28</v>
      </c>
      <c r="G962">
        <v>1</v>
      </c>
      <c r="H962">
        <v>3.37</v>
      </c>
      <c r="I962">
        <v>3.37</v>
      </c>
      <c r="J962">
        <v>1.74</v>
      </c>
      <c r="K962">
        <v>1.63</v>
      </c>
      <c r="L962" t="s">
        <v>20</v>
      </c>
      <c r="M962" t="s">
        <v>54</v>
      </c>
      <c r="N962" t="s">
        <v>744</v>
      </c>
    </row>
    <row r="963" spans="1:14">
      <c r="A963" t="s">
        <v>2145</v>
      </c>
      <c r="B963" t="s">
        <v>798</v>
      </c>
      <c r="C963" t="s">
        <v>2146</v>
      </c>
      <c r="D963" t="s">
        <v>52</v>
      </c>
      <c r="E963" t="s">
        <v>18</v>
      </c>
      <c r="F963" t="s">
        <v>19</v>
      </c>
      <c r="G963">
        <v>4</v>
      </c>
      <c r="H963">
        <v>4.83</v>
      </c>
      <c r="I963">
        <v>19.32</v>
      </c>
      <c r="J963">
        <v>12.19</v>
      </c>
      <c r="K963">
        <v>7.13</v>
      </c>
      <c r="L963" t="s">
        <v>60</v>
      </c>
      <c r="M963" t="s">
        <v>21</v>
      </c>
      <c r="N963" t="s">
        <v>278</v>
      </c>
    </row>
    <row r="964" spans="1:14">
      <c r="A964" t="s">
        <v>2147</v>
      </c>
      <c r="B964" t="s">
        <v>919</v>
      </c>
      <c r="C964" t="s">
        <v>2148</v>
      </c>
      <c r="D964" t="s">
        <v>52</v>
      </c>
      <c r="E964" t="s">
        <v>34</v>
      </c>
      <c r="F964" t="s">
        <v>47</v>
      </c>
      <c r="G964">
        <v>4</v>
      </c>
      <c r="H964">
        <v>6.07</v>
      </c>
      <c r="I964">
        <v>24.28</v>
      </c>
      <c r="J964">
        <v>13.98</v>
      </c>
      <c r="K964">
        <v>10.3</v>
      </c>
      <c r="L964" t="s">
        <v>20</v>
      </c>
      <c r="M964" t="s">
        <v>29</v>
      </c>
      <c r="N964" t="s">
        <v>278</v>
      </c>
    </row>
    <row r="965" spans="1:14">
      <c r="A965" t="s">
        <v>2149</v>
      </c>
      <c r="B965" t="s">
        <v>1449</v>
      </c>
      <c r="C965" t="s">
        <v>1006</v>
      </c>
      <c r="D965" t="s">
        <v>46</v>
      </c>
      <c r="E965" t="s">
        <v>27</v>
      </c>
      <c r="F965" t="s">
        <v>169</v>
      </c>
      <c r="G965">
        <v>3</v>
      </c>
      <c r="H965">
        <v>7.33</v>
      </c>
      <c r="I965">
        <v>21.99</v>
      </c>
      <c r="J965">
        <v>14.26</v>
      </c>
      <c r="K965">
        <v>7.73</v>
      </c>
      <c r="L965" t="s">
        <v>53</v>
      </c>
      <c r="M965" t="s">
        <v>21</v>
      </c>
      <c r="N965" t="s">
        <v>303</v>
      </c>
    </row>
    <row r="966" spans="1:14">
      <c r="A966" t="s">
        <v>2150</v>
      </c>
      <c r="B966" t="s">
        <v>333</v>
      </c>
      <c r="C966" t="s">
        <v>2151</v>
      </c>
      <c r="D966" t="s">
        <v>17</v>
      </c>
      <c r="E966" t="s">
        <v>18</v>
      </c>
      <c r="F966" t="s">
        <v>146</v>
      </c>
      <c r="G966">
        <v>1</v>
      </c>
      <c r="H966">
        <v>4.47</v>
      </c>
      <c r="I966">
        <v>4.47</v>
      </c>
      <c r="J966">
        <v>2.64</v>
      </c>
      <c r="K966">
        <v>1.83</v>
      </c>
      <c r="L966" t="s">
        <v>60</v>
      </c>
      <c r="M966" t="s">
        <v>54</v>
      </c>
      <c r="N966" t="s">
        <v>850</v>
      </c>
    </row>
    <row r="967" spans="1:14">
      <c r="A967" t="s">
        <v>2152</v>
      </c>
      <c r="B967" t="s">
        <v>1468</v>
      </c>
      <c r="C967" t="s">
        <v>2153</v>
      </c>
      <c r="D967" t="s">
        <v>26</v>
      </c>
      <c r="E967" t="s">
        <v>27</v>
      </c>
      <c r="F967" t="s">
        <v>28</v>
      </c>
      <c r="G967">
        <v>3</v>
      </c>
      <c r="H967">
        <v>4.4</v>
      </c>
      <c r="I967">
        <v>13.2</v>
      </c>
      <c r="J967">
        <v>7.3</v>
      </c>
      <c r="K967">
        <v>5.9</v>
      </c>
      <c r="L967" t="s">
        <v>20</v>
      </c>
      <c r="M967" t="s">
        <v>54</v>
      </c>
      <c r="N967" t="s">
        <v>560</v>
      </c>
    </row>
    <row r="968" spans="1:14">
      <c r="A968" t="s">
        <v>2154</v>
      </c>
      <c r="B968" t="s">
        <v>342</v>
      </c>
      <c r="C968" t="s">
        <v>1534</v>
      </c>
      <c r="D968" t="s">
        <v>69</v>
      </c>
      <c r="E968" t="s">
        <v>18</v>
      </c>
      <c r="F968" t="s">
        <v>146</v>
      </c>
      <c r="G968">
        <v>1</v>
      </c>
      <c r="H968">
        <v>5.05</v>
      </c>
      <c r="I968">
        <v>5.05</v>
      </c>
      <c r="J968">
        <v>2.63</v>
      </c>
      <c r="K968">
        <v>2.42</v>
      </c>
      <c r="L968" t="s">
        <v>20</v>
      </c>
      <c r="M968" t="s">
        <v>21</v>
      </c>
      <c r="N968" t="s">
        <v>381</v>
      </c>
    </row>
    <row r="969" spans="1:14">
      <c r="A969" t="s">
        <v>2155</v>
      </c>
      <c r="B969" t="s">
        <v>389</v>
      </c>
      <c r="C969" t="s">
        <v>100</v>
      </c>
      <c r="D969" t="s">
        <v>69</v>
      </c>
      <c r="E969" t="s">
        <v>27</v>
      </c>
      <c r="F969" t="s">
        <v>28</v>
      </c>
      <c r="G969">
        <v>3</v>
      </c>
      <c r="H969">
        <v>5.34</v>
      </c>
      <c r="I969">
        <v>16.02</v>
      </c>
      <c r="J969">
        <v>7.82</v>
      </c>
      <c r="K969">
        <v>8.2</v>
      </c>
      <c r="L969" t="s">
        <v>36</v>
      </c>
      <c r="M969" t="s">
        <v>21</v>
      </c>
      <c r="N969" t="s">
        <v>48</v>
      </c>
    </row>
    <row r="970" spans="1:14">
      <c r="A970" t="s">
        <v>2156</v>
      </c>
      <c r="B970" t="s">
        <v>1373</v>
      </c>
      <c r="C970" t="s">
        <v>1725</v>
      </c>
      <c r="D970" t="s">
        <v>26</v>
      </c>
      <c r="E970" t="s">
        <v>34</v>
      </c>
      <c r="F970" t="s">
        <v>59</v>
      </c>
      <c r="G970">
        <v>3</v>
      </c>
      <c r="H970">
        <v>7.05</v>
      </c>
      <c r="I970">
        <v>21.15</v>
      </c>
      <c r="J970">
        <v>10.56</v>
      </c>
      <c r="K970">
        <v>10.59</v>
      </c>
      <c r="L970" t="s">
        <v>60</v>
      </c>
      <c r="M970" t="s">
        <v>29</v>
      </c>
      <c r="N970" t="s">
        <v>644</v>
      </c>
    </row>
    <row r="971" spans="1:14">
      <c r="A971" t="s">
        <v>2157</v>
      </c>
      <c r="B971" t="s">
        <v>502</v>
      </c>
      <c r="C971" t="s">
        <v>1882</v>
      </c>
      <c r="D971" t="s">
        <v>46</v>
      </c>
      <c r="E971" t="s">
        <v>27</v>
      </c>
      <c r="F971" t="s">
        <v>169</v>
      </c>
      <c r="G971">
        <v>4</v>
      </c>
      <c r="H971">
        <v>4.49</v>
      </c>
      <c r="I971">
        <v>17.96</v>
      </c>
      <c r="J971">
        <v>8.09</v>
      </c>
      <c r="K971">
        <v>9.87</v>
      </c>
      <c r="L971" t="s">
        <v>53</v>
      </c>
      <c r="M971" t="s">
        <v>21</v>
      </c>
      <c r="N971" t="s">
        <v>1351</v>
      </c>
    </row>
    <row r="972" spans="1:14">
      <c r="A972" t="s">
        <v>2158</v>
      </c>
      <c r="B972" t="s">
        <v>395</v>
      </c>
      <c r="C972" t="s">
        <v>2159</v>
      </c>
      <c r="D972" t="s">
        <v>26</v>
      </c>
      <c r="E972" t="s">
        <v>18</v>
      </c>
      <c r="F972" t="s">
        <v>146</v>
      </c>
      <c r="G972">
        <v>5</v>
      </c>
      <c r="H972">
        <v>6.38</v>
      </c>
      <c r="I972">
        <v>31.9</v>
      </c>
      <c r="J972">
        <v>21.14</v>
      </c>
      <c r="K972">
        <v>10.76</v>
      </c>
      <c r="L972" t="s">
        <v>53</v>
      </c>
      <c r="M972" t="s">
        <v>21</v>
      </c>
      <c r="N972" t="s">
        <v>451</v>
      </c>
    </row>
    <row r="973" spans="1:14">
      <c r="A973" t="s">
        <v>2160</v>
      </c>
      <c r="B973" t="s">
        <v>493</v>
      </c>
      <c r="C973" t="s">
        <v>2115</v>
      </c>
      <c r="D973" t="s">
        <v>52</v>
      </c>
      <c r="E973" t="s">
        <v>18</v>
      </c>
      <c r="F973" t="s">
        <v>146</v>
      </c>
      <c r="G973">
        <v>3</v>
      </c>
      <c r="H973">
        <v>3.98</v>
      </c>
      <c r="I973">
        <v>11.94</v>
      </c>
      <c r="J973">
        <v>7.8</v>
      </c>
      <c r="K973">
        <v>4.14</v>
      </c>
      <c r="L973" t="s">
        <v>36</v>
      </c>
      <c r="M973" t="s">
        <v>21</v>
      </c>
      <c r="N973" t="s">
        <v>410</v>
      </c>
    </row>
    <row r="974" spans="1:14">
      <c r="A974" t="s">
        <v>2161</v>
      </c>
      <c r="B974" t="s">
        <v>2162</v>
      </c>
      <c r="C974" t="s">
        <v>2163</v>
      </c>
      <c r="D974" t="s">
        <v>46</v>
      </c>
      <c r="E974" t="s">
        <v>27</v>
      </c>
      <c r="F974" t="s">
        <v>28</v>
      </c>
      <c r="G974">
        <v>1</v>
      </c>
      <c r="H974">
        <v>5.28</v>
      </c>
      <c r="I974">
        <v>5.28</v>
      </c>
      <c r="J974">
        <v>2.61</v>
      </c>
      <c r="K974">
        <v>2.67</v>
      </c>
      <c r="L974" t="s">
        <v>36</v>
      </c>
      <c r="M974" t="s">
        <v>29</v>
      </c>
      <c r="N974" t="s">
        <v>599</v>
      </c>
    </row>
    <row r="975" spans="1:14">
      <c r="A975" t="s">
        <v>2164</v>
      </c>
      <c r="B975" t="s">
        <v>305</v>
      </c>
      <c r="C975" t="s">
        <v>2165</v>
      </c>
      <c r="D975" t="s">
        <v>26</v>
      </c>
      <c r="E975" t="s">
        <v>27</v>
      </c>
      <c r="F975" t="s">
        <v>125</v>
      </c>
      <c r="G975">
        <v>5</v>
      </c>
      <c r="H975">
        <v>5.54</v>
      </c>
      <c r="I975">
        <v>27.7</v>
      </c>
      <c r="J975">
        <v>16.32</v>
      </c>
      <c r="K975">
        <v>11.38</v>
      </c>
      <c r="L975" t="s">
        <v>20</v>
      </c>
      <c r="M975" t="s">
        <v>29</v>
      </c>
      <c r="N975" t="s">
        <v>287</v>
      </c>
    </row>
    <row r="976" spans="1:14">
      <c r="A976" t="s">
        <v>2166</v>
      </c>
      <c r="B976" t="s">
        <v>653</v>
      </c>
      <c r="C976" t="s">
        <v>2167</v>
      </c>
      <c r="D976" t="s">
        <v>46</v>
      </c>
      <c r="E976" t="s">
        <v>18</v>
      </c>
      <c r="F976" t="s">
        <v>41</v>
      </c>
      <c r="G976">
        <v>1</v>
      </c>
      <c r="H976">
        <v>4.98</v>
      </c>
      <c r="I976">
        <v>4.98</v>
      </c>
      <c r="J976">
        <v>2.25</v>
      </c>
      <c r="K976">
        <v>2.73</v>
      </c>
      <c r="L976" t="s">
        <v>36</v>
      </c>
      <c r="M976" t="s">
        <v>21</v>
      </c>
      <c r="N976" t="s">
        <v>507</v>
      </c>
    </row>
    <row r="977" spans="1:14">
      <c r="A977" t="s">
        <v>2168</v>
      </c>
      <c r="B977" t="s">
        <v>2169</v>
      </c>
      <c r="C977" t="s">
        <v>914</v>
      </c>
      <c r="D977" t="s">
        <v>17</v>
      </c>
      <c r="E977" t="s">
        <v>18</v>
      </c>
      <c r="F977" t="s">
        <v>41</v>
      </c>
      <c r="G977">
        <v>4</v>
      </c>
      <c r="H977">
        <v>4.23</v>
      </c>
      <c r="I977">
        <v>16.92</v>
      </c>
      <c r="J977">
        <v>9.23</v>
      </c>
      <c r="K977">
        <v>7.69</v>
      </c>
      <c r="L977" t="s">
        <v>20</v>
      </c>
      <c r="M977" t="s">
        <v>54</v>
      </c>
      <c r="N977" t="s">
        <v>550</v>
      </c>
    </row>
    <row r="978" spans="1:14">
      <c r="A978" t="s">
        <v>2170</v>
      </c>
      <c r="B978" t="s">
        <v>1136</v>
      </c>
      <c r="C978" t="s">
        <v>1886</v>
      </c>
      <c r="D978" t="s">
        <v>26</v>
      </c>
      <c r="E978" t="s">
        <v>34</v>
      </c>
      <c r="F978" t="s">
        <v>47</v>
      </c>
      <c r="G978">
        <v>2</v>
      </c>
      <c r="H978">
        <v>2.6</v>
      </c>
      <c r="I978">
        <v>5.2</v>
      </c>
      <c r="J978">
        <v>3.53</v>
      </c>
      <c r="K978">
        <v>1.67</v>
      </c>
      <c r="L978" t="s">
        <v>60</v>
      </c>
      <c r="M978" t="s">
        <v>29</v>
      </c>
      <c r="N978" t="s">
        <v>165</v>
      </c>
    </row>
    <row r="979" spans="1:14">
      <c r="A979" t="s">
        <v>2171</v>
      </c>
      <c r="B979" t="s">
        <v>1208</v>
      </c>
      <c r="C979" t="s">
        <v>2172</v>
      </c>
      <c r="D979" t="s">
        <v>26</v>
      </c>
      <c r="E979" t="s">
        <v>34</v>
      </c>
      <c r="F979" t="s">
        <v>59</v>
      </c>
      <c r="G979">
        <v>3</v>
      </c>
      <c r="H979">
        <v>7.46</v>
      </c>
      <c r="I979">
        <v>22.38</v>
      </c>
      <c r="J979">
        <v>11.04</v>
      </c>
      <c r="K979">
        <v>11.34</v>
      </c>
      <c r="L979" t="s">
        <v>53</v>
      </c>
      <c r="M979" t="s">
        <v>54</v>
      </c>
      <c r="N979" t="s">
        <v>599</v>
      </c>
    </row>
    <row r="980" spans="1:14">
      <c r="A980" t="s">
        <v>2173</v>
      </c>
      <c r="B980" t="s">
        <v>1765</v>
      </c>
      <c r="C980" t="s">
        <v>2174</v>
      </c>
      <c r="D980" t="s">
        <v>26</v>
      </c>
      <c r="E980" t="s">
        <v>34</v>
      </c>
      <c r="F980" t="s">
        <v>135</v>
      </c>
      <c r="G980">
        <v>4</v>
      </c>
      <c r="H980">
        <v>2.84</v>
      </c>
      <c r="I980">
        <v>11.36</v>
      </c>
      <c r="J980">
        <v>5.6</v>
      </c>
      <c r="K980">
        <v>5.76</v>
      </c>
      <c r="L980" t="s">
        <v>20</v>
      </c>
      <c r="M980" t="s">
        <v>21</v>
      </c>
      <c r="N980" t="s">
        <v>497</v>
      </c>
    </row>
    <row r="981" spans="1:14">
      <c r="A981" t="s">
        <v>2175</v>
      </c>
      <c r="B981" t="s">
        <v>63</v>
      </c>
      <c r="C981" t="s">
        <v>2176</v>
      </c>
      <c r="D981" t="s">
        <v>69</v>
      </c>
      <c r="E981" t="s">
        <v>34</v>
      </c>
      <c r="F981" t="s">
        <v>35</v>
      </c>
      <c r="G981">
        <v>3</v>
      </c>
      <c r="H981">
        <v>4.9</v>
      </c>
      <c r="I981">
        <v>14.7</v>
      </c>
      <c r="J981">
        <v>9.29</v>
      </c>
      <c r="K981">
        <v>5.41</v>
      </c>
      <c r="L981" t="s">
        <v>53</v>
      </c>
      <c r="M981" t="s">
        <v>21</v>
      </c>
      <c r="N981" t="s">
        <v>139</v>
      </c>
    </row>
    <row r="982" spans="1:14">
      <c r="A982" t="s">
        <v>2177</v>
      </c>
      <c r="B982" t="s">
        <v>1105</v>
      </c>
      <c r="C982" t="s">
        <v>2178</v>
      </c>
      <c r="D982" t="s">
        <v>52</v>
      </c>
      <c r="E982" t="s">
        <v>34</v>
      </c>
      <c r="F982" t="s">
        <v>35</v>
      </c>
      <c r="G982">
        <v>5</v>
      </c>
      <c r="H982">
        <v>7.34</v>
      </c>
      <c r="I982">
        <v>36.7</v>
      </c>
      <c r="J982">
        <v>25.04</v>
      </c>
      <c r="K982">
        <v>11.66</v>
      </c>
      <c r="L982" t="s">
        <v>36</v>
      </c>
      <c r="M982" t="s">
        <v>54</v>
      </c>
      <c r="N982" t="s">
        <v>30</v>
      </c>
    </row>
    <row r="983" spans="1:14">
      <c r="A983" t="s">
        <v>2179</v>
      </c>
      <c r="B983" t="s">
        <v>1645</v>
      </c>
      <c r="C983" t="s">
        <v>2180</v>
      </c>
      <c r="D983" t="s">
        <v>52</v>
      </c>
      <c r="E983" t="s">
        <v>34</v>
      </c>
      <c r="F983" t="s">
        <v>35</v>
      </c>
      <c r="G983">
        <v>4</v>
      </c>
      <c r="H983">
        <v>7.38</v>
      </c>
      <c r="I983">
        <v>29.52</v>
      </c>
      <c r="J983">
        <v>14.08</v>
      </c>
      <c r="K983">
        <v>15.44</v>
      </c>
      <c r="L983" t="s">
        <v>53</v>
      </c>
      <c r="M983" t="s">
        <v>21</v>
      </c>
      <c r="N983" t="s">
        <v>285</v>
      </c>
    </row>
    <row r="984" spans="1:14">
      <c r="A984" t="s">
        <v>2181</v>
      </c>
      <c r="B984" t="s">
        <v>2108</v>
      </c>
      <c r="C984" t="s">
        <v>1875</v>
      </c>
      <c r="D984" t="s">
        <v>46</v>
      </c>
      <c r="E984" t="s">
        <v>34</v>
      </c>
      <c r="F984" t="s">
        <v>59</v>
      </c>
      <c r="G984">
        <v>5</v>
      </c>
      <c r="H984">
        <v>7.12</v>
      </c>
      <c r="I984">
        <v>35.6</v>
      </c>
      <c r="J984">
        <v>23.3</v>
      </c>
      <c r="K984">
        <v>12.3</v>
      </c>
      <c r="L984" t="s">
        <v>53</v>
      </c>
      <c r="M984" t="s">
        <v>21</v>
      </c>
      <c r="N984" t="s">
        <v>191</v>
      </c>
    </row>
    <row r="985" spans="1:14">
      <c r="A985" t="s">
        <v>2182</v>
      </c>
      <c r="B985" t="s">
        <v>1399</v>
      </c>
      <c r="C985" t="s">
        <v>2183</v>
      </c>
      <c r="D985" t="s">
        <v>69</v>
      </c>
      <c r="E985" t="s">
        <v>18</v>
      </c>
      <c r="F985" t="s">
        <v>19</v>
      </c>
      <c r="G985">
        <v>4</v>
      </c>
      <c r="H985">
        <v>6.78</v>
      </c>
      <c r="I985">
        <v>27.12</v>
      </c>
      <c r="J985">
        <v>17.27</v>
      </c>
      <c r="K985">
        <v>9.85</v>
      </c>
      <c r="L985" t="s">
        <v>60</v>
      </c>
      <c r="M985" t="s">
        <v>21</v>
      </c>
      <c r="N985" t="s">
        <v>381</v>
      </c>
    </row>
    <row r="986" spans="1:14">
      <c r="A986" t="s">
        <v>2184</v>
      </c>
      <c r="B986" t="s">
        <v>1029</v>
      </c>
      <c r="C986" t="s">
        <v>1240</v>
      </c>
      <c r="D986" t="s">
        <v>26</v>
      </c>
      <c r="E986" t="s">
        <v>27</v>
      </c>
      <c r="F986" t="s">
        <v>125</v>
      </c>
      <c r="G986">
        <v>2</v>
      </c>
      <c r="H986">
        <v>6.92</v>
      </c>
      <c r="I986">
        <v>13.84</v>
      </c>
      <c r="J986">
        <v>6.69</v>
      </c>
      <c r="K986">
        <v>7.15</v>
      </c>
      <c r="L986" t="s">
        <v>53</v>
      </c>
      <c r="M986" t="s">
        <v>21</v>
      </c>
      <c r="N986" t="s">
        <v>470</v>
      </c>
    </row>
    <row r="987" spans="1:14">
      <c r="A987" t="s">
        <v>2185</v>
      </c>
      <c r="B987" t="s">
        <v>1520</v>
      </c>
      <c r="C987" t="s">
        <v>2186</v>
      </c>
      <c r="D987" t="s">
        <v>26</v>
      </c>
      <c r="E987" t="s">
        <v>34</v>
      </c>
      <c r="F987" t="s">
        <v>135</v>
      </c>
      <c r="G987">
        <v>3</v>
      </c>
      <c r="H987">
        <v>3.12</v>
      </c>
      <c r="I987">
        <v>9.36</v>
      </c>
      <c r="J987">
        <v>4.69</v>
      </c>
      <c r="K987">
        <v>4.67</v>
      </c>
      <c r="L987" t="s">
        <v>53</v>
      </c>
      <c r="M987" t="s">
        <v>54</v>
      </c>
      <c r="N987" t="s">
        <v>368</v>
      </c>
    </row>
    <row r="988" spans="1:14">
      <c r="A988" t="s">
        <v>2187</v>
      </c>
      <c r="B988" t="s">
        <v>771</v>
      </c>
      <c r="C988" t="s">
        <v>2188</v>
      </c>
      <c r="D988" t="s">
        <v>69</v>
      </c>
      <c r="E988" t="s">
        <v>18</v>
      </c>
      <c r="F988" t="s">
        <v>41</v>
      </c>
      <c r="G988">
        <v>3</v>
      </c>
      <c r="H988">
        <v>2.6</v>
      </c>
      <c r="I988">
        <v>7.8</v>
      </c>
      <c r="J988">
        <v>5.43</v>
      </c>
      <c r="K988">
        <v>2.37</v>
      </c>
      <c r="L988" t="s">
        <v>60</v>
      </c>
      <c r="M988" t="s">
        <v>21</v>
      </c>
      <c r="N988" t="s">
        <v>312</v>
      </c>
    </row>
    <row r="989" spans="1:14">
      <c r="A989" t="s">
        <v>2189</v>
      </c>
      <c r="B989" t="s">
        <v>1851</v>
      </c>
      <c r="C989" t="s">
        <v>2190</v>
      </c>
      <c r="D989" t="s">
        <v>26</v>
      </c>
      <c r="E989" t="s">
        <v>74</v>
      </c>
      <c r="F989" t="s">
        <v>75</v>
      </c>
      <c r="G989">
        <v>5</v>
      </c>
      <c r="H989">
        <v>6.86</v>
      </c>
      <c r="I989">
        <v>34.3</v>
      </c>
      <c r="J989">
        <v>20.26</v>
      </c>
      <c r="K989">
        <v>14.04</v>
      </c>
      <c r="L989" t="s">
        <v>53</v>
      </c>
      <c r="M989" t="s">
        <v>54</v>
      </c>
      <c r="N989" t="s">
        <v>285</v>
      </c>
    </row>
    <row r="990" spans="1:14">
      <c r="A990" t="s">
        <v>2191</v>
      </c>
      <c r="B990" t="s">
        <v>1898</v>
      </c>
      <c r="C990" t="s">
        <v>2192</v>
      </c>
      <c r="D990" t="s">
        <v>26</v>
      </c>
      <c r="E990" t="s">
        <v>27</v>
      </c>
      <c r="F990" t="s">
        <v>125</v>
      </c>
      <c r="G990">
        <v>1</v>
      </c>
      <c r="H990">
        <v>4.81</v>
      </c>
      <c r="I990">
        <v>4.81</v>
      </c>
      <c r="J990">
        <v>2.72</v>
      </c>
      <c r="K990">
        <v>2.09</v>
      </c>
      <c r="L990" t="s">
        <v>60</v>
      </c>
      <c r="M990" t="s">
        <v>29</v>
      </c>
      <c r="N990" t="s">
        <v>550</v>
      </c>
    </row>
    <row r="991" spans="1:14">
      <c r="A991" t="s">
        <v>2193</v>
      </c>
      <c r="B991" t="s">
        <v>1288</v>
      </c>
      <c r="C991" t="s">
        <v>1648</v>
      </c>
      <c r="D991" t="s">
        <v>17</v>
      </c>
      <c r="E991" t="s">
        <v>34</v>
      </c>
      <c r="F991" t="s">
        <v>47</v>
      </c>
      <c r="G991">
        <v>1</v>
      </c>
      <c r="H991">
        <v>6.67</v>
      </c>
      <c r="I991">
        <v>6.67</v>
      </c>
      <c r="J991">
        <v>3.75</v>
      </c>
      <c r="K991">
        <v>2.92</v>
      </c>
      <c r="L991" t="s">
        <v>53</v>
      </c>
      <c r="M991" t="s">
        <v>29</v>
      </c>
      <c r="N991" t="s">
        <v>230</v>
      </c>
    </row>
    <row r="992" spans="1:14">
      <c r="A992" t="s">
        <v>2194</v>
      </c>
      <c r="B992" t="s">
        <v>2195</v>
      </c>
      <c r="C992" t="s">
        <v>2196</v>
      </c>
      <c r="D992" t="s">
        <v>26</v>
      </c>
      <c r="E992" t="s">
        <v>34</v>
      </c>
      <c r="F992" t="s">
        <v>130</v>
      </c>
      <c r="G992">
        <v>3</v>
      </c>
      <c r="H992">
        <v>7.79</v>
      </c>
      <c r="I992">
        <v>23.37</v>
      </c>
      <c r="J992">
        <v>12.37</v>
      </c>
      <c r="K992">
        <v>11</v>
      </c>
      <c r="L992" t="s">
        <v>36</v>
      </c>
      <c r="M992" t="s">
        <v>54</v>
      </c>
      <c r="N992" t="s">
        <v>896</v>
      </c>
    </row>
    <row r="993" spans="1:14">
      <c r="A993" t="s">
        <v>2197</v>
      </c>
      <c r="B993" t="s">
        <v>952</v>
      </c>
      <c r="C993" t="s">
        <v>741</v>
      </c>
      <c r="D993" t="s">
        <v>46</v>
      </c>
      <c r="E993" t="s">
        <v>74</v>
      </c>
      <c r="F993" t="s">
        <v>83</v>
      </c>
      <c r="G993">
        <v>3</v>
      </c>
      <c r="H993">
        <v>3.18</v>
      </c>
      <c r="I993">
        <v>9.54</v>
      </c>
      <c r="J993">
        <v>5.51</v>
      </c>
      <c r="K993">
        <v>4.03</v>
      </c>
      <c r="L993" t="s">
        <v>36</v>
      </c>
      <c r="M993" t="s">
        <v>21</v>
      </c>
      <c r="N993" t="s">
        <v>242</v>
      </c>
    </row>
    <row r="994" spans="1:14">
      <c r="A994" t="s">
        <v>2198</v>
      </c>
      <c r="B994" t="s">
        <v>898</v>
      </c>
      <c r="C994" t="s">
        <v>2199</v>
      </c>
      <c r="D994" t="s">
        <v>46</v>
      </c>
      <c r="E994" t="s">
        <v>34</v>
      </c>
      <c r="F994" t="s">
        <v>59</v>
      </c>
      <c r="G994">
        <v>2</v>
      </c>
      <c r="H994">
        <v>7.71</v>
      </c>
      <c r="I994">
        <v>15.42</v>
      </c>
      <c r="J994">
        <v>9.98</v>
      </c>
      <c r="K994">
        <v>5.44</v>
      </c>
      <c r="L994" t="s">
        <v>60</v>
      </c>
      <c r="M994" t="s">
        <v>54</v>
      </c>
      <c r="N994" t="s">
        <v>165</v>
      </c>
    </row>
    <row r="995" spans="1:14">
      <c r="A995" t="s">
        <v>2200</v>
      </c>
      <c r="B995" t="s">
        <v>1566</v>
      </c>
      <c r="C995" t="s">
        <v>2201</v>
      </c>
      <c r="D995" t="s">
        <v>69</v>
      </c>
      <c r="E995" t="s">
        <v>18</v>
      </c>
      <c r="F995" t="s">
        <v>146</v>
      </c>
      <c r="G995">
        <v>4</v>
      </c>
      <c r="H995">
        <v>3.8</v>
      </c>
      <c r="I995">
        <v>15.2</v>
      </c>
      <c r="J995">
        <v>6.98</v>
      </c>
      <c r="K995">
        <v>8.22</v>
      </c>
      <c r="L995" t="s">
        <v>60</v>
      </c>
      <c r="M995" t="s">
        <v>21</v>
      </c>
      <c r="N995" t="s">
        <v>261</v>
      </c>
    </row>
    <row r="996" spans="1:14">
      <c r="A996" t="s">
        <v>2202</v>
      </c>
      <c r="B996" t="s">
        <v>2203</v>
      </c>
      <c r="C996" t="s">
        <v>830</v>
      </c>
      <c r="D996" t="s">
        <v>26</v>
      </c>
      <c r="E996" t="s">
        <v>74</v>
      </c>
      <c r="F996" t="s">
        <v>92</v>
      </c>
      <c r="G996">
        <v>1</v>
      </c>
      <c r="H996">
        <v>7.81</v>
      </c>
      <c r="I996">
        <v>7.81</v>
      </c>
      <c r="J996">
        <v>4.9</v>
      </c>
      <c r="K996">
        <v>2.91</v>
      </c>
      <c r="L996" t="s">
        <v>53</v>
      </c>
      <c r="M996" t="s">
        <v>21</v>
      </c>
      <c r="N996" t="s">
        <v>887</v>
      </c>
    </row>
    <row r="997" spans="1:14">
      <c r="A997" t="s">
        <v>2204</v>
      </c>
      <c r="B997" t="s">
        <v>1437</v>
      </c>
      <c r="C997" t="s">
        <v>2205</v>
      </c>
      <c r="D997" t="s">
        <v>26</v>
      </c>
      <c r="E997" t="s">
        <v>18</v>
      </c>
      <c r="F997" t="s">
        <v>19</v>
      </c>
      <c r="G997">
        <v>2</v>
      </c>
      <c r="H997">
        <v>7.68</v>
      </c>
      <c r="I997">
        <v>15.36</v>
      </c>
      <c r="J997">
        <v>8.79</v>
      </c>
      <c r="K997">
        <v>6.57</v>
      </c>
      <c r="L997" t="s">
        <v>53</v>
      </c>
      <c r="M997" t="s">
        <v>29</v>
      </c>
      <c r="N997" t="s">
        <v>312</v>
      </c>
    </row>
    <row r="998" spans="1:14">
      <c r="A998" t="s">
        <v>2206</v>
      </c>
      <c r="B998" t="s">
        <v>1063</v>
      </c>
      <c r="C998" t="s">
        <v>1847</v>
      </c>
      <c r="D998" t="s">
        <v>52</v>
      </c>
      <c r="E998" t="s">
        <v>18</v>
      </c>
      <c r="F998" t="s">
        <v>146</v>
      </c>
      <c r="G998">
        <v>4</v>
      </c>
      <c r="H998">
        <v>2.74</v>
      </c>
      <c r="I998">
        <v>10.96</v>
      </c>
      <c r="J998">
        <v>7.37</v>
      </c>
      <c r="K998">
        <v>3.59</v>
      </c>
      <c r="L998" t="s">
        <v>20</v>
      </c>
      <c r="M998" t="s">
        <v>21</v>
      </c>
      <c r="N998" t="s">
        <v>131</v>
      </c>
    </row>
    <row r="999" spans="1:14">
      <c r="A999" t="s">
        <v>2207</v>
      </c>
      <c r="B999" t="s">
        <v>123</v>
      </c>
      <c r="C999" t="s">
        <v>2208</v>
      </c>
      <c r="D999" t="s">
        <v>52</v>
      </c>
      <c r="E999" t="s">
        <v>34</v>
      </c>
      <c r="F999" t="s">
        <v>35</v>
      </c>
      <c r="G999">
        <v>1</v>
      </c>
      <c r="H999">
        <v>5.78</v>
      </c>
      <c r="I999">
        <v>5.78</v>
      </c>
      <c r="J999">
        <v>3.57</v>
      </c>
      <c r="K999">
        <v>2.21</v>
      </c>
      <c r="L999" t="s">
        <v>60</v>
      </c>
      <c r="M999" t="s">
        <v>54</v>
      </c>
      <c r="N999" t="s">
        <v>234</v>
      </c>
    </row>
    <row r="1000" spans="1:14">
      <c r="A1000" t="s">
        <v>2209</v>
      </c>
      <c r="B1000" t="s">
        <v>614</v>
      </c>
      <c r="C1000" t="s">
        <v>1056</v>
      </c>
      <c r="D1000" t="s">
        <v>52</v>
      </c>
      <c r="E1000" t="s">
        <v>74</v>
      </c>
      <c r="F1000" t="s">
        <v>83</v>
      </c>
      <c r="G1000">
        <v>2</v>
      </c>
      <c r="H1000">
        <v>7.2</v>
      </c>
      <c r="I1000">
        <v>14.4</v>
      </c>
      <c r="J1000">
        <v>9.9</v>
      </c>
      <c r="K1000">
        <v>4.5</v>
      </c>
      <c r="L1000" t="s">
        <v>53</v>
      </c>
      <c r="M1000" t="s">
        <v>29</v>
      </c>
      <c r="N1000" t="s">
        <v>473</v>
      </c>
    </row>
    <row r="1001" spans="1:14">
      <c r="A1001" t="s">
        <v>2210</v>
      </c>
      <c r="B1001" t="s">
        <v>50</v>
      </c>
      <c r="C1001" t="s">
        <v>2211</v>
      </c>
      <c r="D1001" t="s">
        <v>26</v>
      </c>
      <c r="E1001" t="s">
        <v>34</v>
      </c>
      <c r="F1001" t="s">
        <v>135</v>
      </c>
      <c r="G1001">
        <v>1</v>
      </c>
      <c r="H1001">
        <v>7.23</v>
      </c>
      <c r="I1001">
        <v>7.23</v>
      </c>
      <c r="J1001">
        <v>3.92</v>
      </c>
      <c r="K1001">
        <v>3.31</v>
      </c>
      <c r="L1001" t="s">
        <v>36</v>
      </c>
      <c r="M1001" t="s">
        <v>54</v>
      </c>
      <c r="N1001" t="s">
        <v>285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showGridLines="0" workbookViewId="0">
      <selection activeCell="H13" sqref="H13"/>
    </sheetView>
  </sheetViews>
  <sheetFormatPr defaultColWidth="9" defaultRowHeight="14.25"/>
  <cols>
    <col min="1" max="1" width="19.125" customWidth="1"/>
    <col min="2" max="2" width="12.375" customWidth="1"/>
    <col min="4" max="4" width="11.375" customWidth="1"/>
    <col min="5" max="5" width="20.25" customWidth="1"/>
    <col min="7" max="7" width="16" customWidth="1"/>
    <col min="8" max="8" width="20.125" customWidth="1"/>
  </cols>
  <sheetData>
    <row r="1" customFormat="1" ht="23.25" spans="1:19">
      <c r="A1" s="41" t="s">
        <v>2212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</row>
    <row r="2" customFormat="1" ht="15" spans="1:19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ht="15.75" spans="1:19">
      <c r="A3" s="43" t="s">
        <v>2213</v>
      </c>
      <c r="B3" s="44"/>
      <c r="D3" s="43" t="s">
        <v>2214</v>
      </c>
      <c r="E3" s="44"/>
      <c r="G3" s="43" t="s">
        <v>2215</v>
      </c>
      <c r="H3" s="44"/>
    </row>
    <row r="4" ht="15" spans="1:19">
      <c r="A4" s="45" t="s">
        <v>3</v>
      </c>
      <c r="B4" s="45" t="s">
        <v>2216</v>
      </c>
      <c r="D4" s="45" t="s">
        <v>11</v>
      </c>
      <c r="E4" s="45" t="s">
        <v>2217</v>
      </c>
      <c r="G4" s="45" t="s">
        <v>5</v>
      </c>
      <c r="H4" s="45" t="s">
        <v>2218</v>
      </c>
    </row>
    <row r="5" spans="1:19">
      <c r="A5" s="46" t="s">
        <v>69</v>
      </c>
      <c r="B5" s="47">
        <v>3230.1</v>
      </c>
      <c r="D5" s="46" t="s">
        <v>20</v>
      </c>
      <c r="E5" s="47">
        <v>256</v>
      </c>
      <c r="G5" s="46" t="s">
        <v>92</v>
      </c>
      <c r="H5" s="47">
        <v>270</v>
      </c>
    </row>
    <row r="6" spans="1:19">
      <c r="A6" s="48" t="s">
        <v>26</v>
      </c>
      <c r="B6" s="49">
        <v>3536.17</v>
      </c>
      <c r="D6" s="48" t="s">
        <v>60</v>
      </c>
      <c r="E6" s="49">
        <v>246</v>
      </c>
      <c r="G6" s="48" t="s">
        <v>75</v>
      </c>
      <c r="H6" s="49">
        <v>290</v>
      </c>
    </row>
    <row r="7" spans="1:19">
      <c r="A7" s="48" t="s">
        <v>46</v>
      </c>
      <c r="B7" s="49">
        <v>3355.28</v>
      </c>
      <c r="D7" s="48" t="s">
        <v>36</v>
      </c>
      <c r="E7" s="49">
        <v>245</v>
      </c>
      <c r="G7" s="48" t="s">
        <v>19</v>
      </c>
      <c r="H7" s="49">
        <v>267</v>
      </c>
    </row>
    <row r="8" ht="15" spans="1:19">
      <c r="A8" s="48" t="s">
        <v>52</v>
      </c>
      <c r="B8" s="49">
        <v>3387.17</v>
      </c>
      <c r="D8" s="50" t="s">
        <v>53</v>
      </c>
      <c r="E8" s="49">
        <v>253</v>
      </c>
      <c r="G8" s="48" t="s">
        <v>41</v>
      </c>
      <c r="H8" s="49">
        <v>267</v>
      </c>
    </row>
    <row r="9" ht="15" spans="1:19">
      <c r="A9" s="50" t="s">
        <v>17</v>
      </c>
      <c r="B9" s="49">
        <v>2677.85</v>
      </c>
      <c r="D9" s="51" t="s">
        <v>2219</v>
      </c>
      <c r="E9" s="52">
        <v>1000</v>
      </c>
      <c r="G9" s="50" t="s">
        <v>146</v>
      </c>
      <c r="H9" s="49">
        <v>306</v>
      </c>
    </row>
    <row r="10" ht="15" spans="1:19">
      <c r="A10" s="51" t="s">
        <v>2219</v>
      </c>
      <c r="B10" s="53">
        <v>16186.57</v>
      </c>
      <c r="G10" s="45" t="s">
        <v>2219</v>
      </c>
      <c r="H10" s="54">
        <v>1400</v>
      </c>
    </row>
    <row r="11" ht="15"/>
    <row r="12" ht="15.75" spans="1:19">
      <c r="A12" s="43" t="s">
        <v>2220</v>
      </c>
      <c r="B12" s="44"/>
      <c r="D12" s="43" t="s">
        <v>2221</v>
      </c>
      <c r="E12" s="44"/>
    </row>
    <row r="13" ht="15" spans="1:19">
      <c r="A13" s="45" t="s">
        <v>4</v>
      </c>
      <c r="B13" s="45" t="s">
        <v>2222</v>
      </c>
      <c r="D13" s="45" t="s">
        <v>1</v>
      </c>
      <c r="E13" s="45" t="s">
        <v>2223</v>
      </c>
    </row>
    <row r="14" spans="1:19">
      <c r="A14" s="46" t="s">
        <v>27</v>
      </c>
      <c r="B14" s="47">
        <v>1474.1</v>
      </c>
      <c r="D14" s="55" t="s">
        <v>342</v>
      </c>
      <c r="E14" s="47">
        <v>134.52</v>
      </c>
    </row>
    <row r="15" spans="1:19">
      <c r="A15" s="48" t="s">
        <v>34</v>
      </c>
      <c r="B15" s="49">
        <v>1611.48</v>
      </c>
      <c r="D15" s="56" t="s">
        <v>63</v>
      </c>
      <c r="E15" s="49">
        <v>167.38</v>
      </c>
    </row>
    <row r="16" spans="1:19">
      <c r="A16" s="48" t="s">
        <v>18</v>
      </c>
      <c r="B16" s="49">
        <v>1855.38</v>
      </c>
      <c r="D16" s="56" t="s">
        <v>266</v>
      </c>
      <c r="E16" s="49">
        <v>139.51</v>
      </c>
    </row>
    <row r="17" ht="15" spans="1:5">
      <c r="A17" s="50" t="s">
        <v>74</v>
      </c>
      <c r="B17" s="49">
        <v>1894.22</v>
      </c>
      <c r="D17" s="56" t="s">
        <v>532</v>
      </c>
      <c r="E17" s="49">
        <v>140.02</v>
      </c>
    </row>
    <row r="18" ht="15" spans="1:5">
      <c r="A18" s="51" t="s">
        <v>2219</v>
      </c>
      <c r="B18" s="53">
        <v>6835.18</v>
      </c>
      <c r="D18" s="57" t="s">
        <v>622</v>
      </c>
      <c r="E18" s="49">
        <v>129.14</v>
      </c>
    </row>
    <row r="19" ht="15" spans="1:5">
      <c r="D19" s="51" t="s">
        <v>2219</v>
      </c>
      <c r="E19" s="53">
        <v>710.57</v>
      </c>
    </row>
  </sheetData>
  <mergeCells count="1">
    <mergeCell ref="A1:S1"/>
  </mergeCells>
  <pageMargins left="0.75" right="0.75" top="1" bottom="1" header="0.5" footer="0.5"/>
  <pageSetup paperSize="1" orientation="portrait" horizontalDpi="360" verticalDpi="36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9"/>
  <sheetViews>
    <sheetView showGridLines="0" workbookViewId="0">
      <selection activeCell="C6" sqref="C6"/>
    </sheetView>
  </sheetViews>
  <sheetFormatPr defaultColWidth="9" defaultRowHeight="14.25"/>
  <cols>
    <col min="7" max="7" width="15.875" customWidth="1"/>
  </cols>
  <sheetData>
    <row r="1" customFormat="1" ht="23.25" spans="1:30">
      <c r="A1" s="25" t="s">
        <v>2224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ht="15"/>
    <row r="3" ht="20.25" spans="1:30">
      <c r="A3" s="27"/>
      <c r="B3" s="27"/>
      <c r="C3" s="27"/>
      <c r="G3" s="28" t="s">
        <v>2225</v>
      </c>
      <c r="H3" s="29"/>
      <c r="I3" s="30"/>
    </row>
    <row r="4" ht="18.75" spans="1:30">
      <c r="A4" s="31"/>
      <c r="B4" s="31"/>
      <c r="C4" s="31"/>
      <c r="G4" s="32">
        <f>GETPIVOTDATA("Sales_Amount",'Pivot table'!$A$4)</f>
        <v>16186.57</v>
      </c>
      <c r="H4" s="33"/>
      <c r="I4" s="34"/>
    </row>
    <row r="6" ht="15"/>
    <row r="7" ht="20.25" spans="1:30">
      <c r="A7" s="27"/>
      <c r="B7" s="27"/>
      <c r="C7" s="27"/>
      <c r="G7" s="28" t="s">
        <v>2226</v>
      </c>
      <c r="H7" s="29"/>
      <c r="I7" s="35"/>
    </row>
    <row r="8" ht="18.75" spans="1:30">
      <c r="A8" s="31"/>
      <c r="B8" s="31"/>
      <c r="C8" s="31"/>
      <c r="G8" s="32">
        <f>GETPIVOTDATA("Profit",'Pivot table'!$A$13)</f>
        <v>6835.18</v>
      </c>
      <c r="H8" s="33"/>
      <c r="I8" s="34"/>
    </row>
    <row r="9" spans="1:30">
      <c r="C9" s="36"/>
    </row>
    <row r="10" ht="15"/>
    <row r="11" ht="20.25" spans="1:30">
      <c r="G11" s="28" t="s">
        <v>2227</v>
      </c>
      <c r="H11" s="29"/>
      <c r="I11" s="35"/>
    </row>
    <row r="12" ht="21" spans="1:30">
      <c r="G12" s="37">
        <f>GETPIVOTDATA("Transaction_ID",'Pivot table'!$D$4)</f>
        <v>1000</v>
      </c>
      <c r="H12" s="38"/>
      <c r="I12" s="39"/>
    </row>
    <row r="14" ht="15"/>
    <row r="15" ht="20.25" spans="1:30">
      <c r="G15" s="28" t="s">
        <v>2228</v>
      </c>
      <c r="H15" s="29"/>
      <c r="I15" s="35"/>
    </row>
    <row r="16" ht="21" spans="1:30">
      <c r="G16" s="37">
        <f>GETPIVOTDATA("Quantity_Sold",'Pivot table'!$G$4)</f>
        <v>1400</v>
      </c>
      <c r="H16" s="38"/>
      <c r="I16" s="39"/>
    </row>
    <row r="19" ht="15" spans="1:5">
      <c r="A19" s="40"/>
      <c r="B19" s="40"/>
      <c r="C19" s="40"/>
      <c r="D19" s="40"/>
      <c r="E19" s="40"/>
    </row>
  </sheetData>
  <mergeCells count="2">
    <mergeCell ref="A1:AD1"/>
    <mergeCell ref="A2:AD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8"/>
  <sheetViews>
    <sheetView showGridLines="0" tabSelected="1" workbookViewId="0">
      <selection activeCell="H8" sqref="H8"/>
    </sheetView>
  </sheetViews>
  <sheetFormatPr defaultColWidth="9" defaultRowHeight="14.25"/>
  <cols>
    <col min="1" max="1" width="9.5" customWidth="1"/>
  </cols>
  <sheetData>
    <row r="1" s="1" customFormat="1" ht="15" customHeight="1" spans="1:31">
      <c r="A1" s="2" t="s">
        <v>2229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="1" customFormat="1" spans="1:3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ht="15"/>
    <row r="4" ht="18" spans="1:31">
      <c r="A4" s="4" t="s">
        <v>2230</v>
      </c>
      <c r="B4" s="5"/>
      <c r="C4" s="5"/>
      <c r="D4" s="6"/>
      <c r="F4" s="7" t="s">
        <v>2231</v>
      </c>
      <c r="G4" s="8"/>
      <c r="H4" s="8"/>
      <c r="I4" s="8"/>
      <c r="J4" s="8"/>
      <c r="K4" s="9"/>
      <c r="M4" s="4" t="s">
        <v>2232</v>
      </c>
      <c r="N4" s="5"/>
      <c r="O4" s="5"/>
      <c r="P4" s="5"/>
      <c r="Q4" s="5"/>
      <c r="R4" s="6"/>
      <c r="T4" s="4" t="s">
        <v>2233</v>
      </c>
      <c r="U4" s="5"/>
      <c r="V4" s="5"/>
      <c r="W4" s="5"/>
      <c r="X4" s="5"/>
      <c r="Y4" s="6"/>
    </row>
    <row r="5" ht="15.75" spans="1:31">
      <c r="A5" s="10">
        <f>GETPIVOTDATA("Sales_Amount",'Pivot table'!$A$4)</f>
        <v>16186.57</v>
      </c>
      <c r="B5" s="11"/>
      <c r="C5" s="11"/>
      <c r="D5" s="12"/>
      <c r="F5" s="13"/>
      <c r="G5" s="14"/>
      <c r="H5" s="15">
        <f>GETPIVOTDATA("Profit",'Pivot table'!$A$13)</f>
        <v>6835.18</v>
      </c>
      <c r="I5" s="14"/>
      <c r="J5" s="16"/>
      <c r="K5" s="12"/>
      <c r="M5" s="17"/>
      <c r="N5" s="14"/>
      <c r="O5" s="15">
        <f>GETPIVOTDATA("Transaction_ID",'Pivot table'!$D$4)</f>
        <v>1000</v>
      </c>
      <c r="P5" s="14"/>
      <c r="Q5" s="14"/>
      <c r="R5" s="18"/>
      <c r="T5" s="17"/>
      <c r="U5" s="14"/>
      <c r="V5" s="15">
        <f>GETPIVOTDATA("Quantity_Sold",'Pivot table'!$G$4)</f>
        <v>1400</v>
      </c>
      <c r="W5" s="14"/>
      <c r="X5" s="14"/>
      <c r="Y5" s="18"/>
    </row>
    <row r="8" spans="1:31">
      <c r="A8" s="19" t="s">
        <v>2234</v>
      </c>
      <c r="B8" s="19"/>
      <c r="C8" s="19"/>
      <c r="D8" s="19"/>
      <c r="J8" s="20" t="s">
        <v>2235</v>
      </c>
      <c r="K8" s="20"/>
      <c r="L8" s="20"/>
      <c r="S8" s="20" t="s">
        <v>2236</v>
      </c>
      <c r="T8" s="20"/>
      <c r="U8" s="20"/>
    </row>
    <row r="23" spans="1:15">
      <c r="A23" s="20" t="s">
        <v>2237</v>
      </c>
      <c r="B23" s="20"/>
      <c r="C23" s="20"/>
      <c r="M23" s="21" t="s">
        <v>2238</v>
      </c>
      <c r="N23" s="21"/>
      <c r="O23" s="21"/>
    </row>
    <row r="39" ht="21.75" customHeight="1" spans="1:30">
      <c r="A39" s="22" t="s">
        <v>2239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</row>
    <row r="41" spans="1:30">
      <c r="B41" s="24" t="s">
        <v>2240</v>
      </c>
      <c r="C41" s="24"/>
      <c r="D41" s="24"/>
      <c r="K41" s="24" t="s">
        <v>2241</v>
      </c>
      <c r="L41" s="24"/>
      <c r="M41" s="24"/>
    </row>
    <row r="58" spans="3:13">
      <c r="C58" s="24" t="s">
        <v>2220</v>
      </c>
      <c r="D58" s="24"/>
      <c r="E58" s="24"/>
      <c r="F58" s="24"/>
      <c r="K58" s="24" t="s">
        <v>2242</v>
      </c>
      <c r="L58" s="24"/>
      <c r="M58" s="24"/>
    </row>
  </sheetData>
  <mergeCells count="16">
    <mergeCell ref="F4:K4"/>
    <mergeCell ref="M4:R4"/>
    <mergeCell ref="T4:Y4"/>
    <mergeCell ref="A8:D8"/>
    <mergeCell ref="J8:L8"/>
    <mergeCell ref="S8:U8"/>
    <mergeCell ref="A23:C23"/>
    <mergeCell ref="M23:O23"/>
    <mergeCell ref="A39:AD39"/>
    <mergeCell ref="B41:D41"/>
    <mergeCell ref="K41:M41"/>
    <mergeCell ref="S41:T41"/>
    <mergeCell ref="AA41:AD41"/>
    <mergeCell ref="C58:F58"/>
    <mergeCell ref="K58:M58"/>
    <mergeCell ref="A1:R2"/>
  </mergeCells>
  <pageMargins left="0.7" right="0.7" top="0.75" bottom="0.75" header="0.3" footer="0.3"/>
  <pageSetup paperSize="1" orientation="portrait" horizontalDpi="360" verticalDpi="360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Coffee Shop Sales</vt:lpstr>
      <vt:lpstr>Pivot table</vt:lpstr>
      <vt:lpstr>KPI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2026-06-24T10:27:00Z</dcterms:created>
  <dcterms:modified xsi:type="dcterms:W3CDTF">2026-06-26T15:50:01Z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1AF12C3BFD9C42E5B9EB1E4F58966919_13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